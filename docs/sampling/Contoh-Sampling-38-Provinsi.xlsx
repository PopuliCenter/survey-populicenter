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Parameter" sheetId="2" state="visible" r:id="rId2"/>
    <sheet name="Referensi" sheetId="3" state="visible" r:id="rId3"/>
    <sheet name="MFD" sheetId="4" state="visible" r:id="rId4"/>
    <sheet name="Alokasi Proporsional" sheetId="5" state="visible" r:id="rId5"/>
    <sheet name="Alokasi Akar-N" sheetId="6" state="visible" r:id="rId6"/>
    <sheet name="PPS Sistemat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1F4E78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808080"/>
      <sz val="8"/>
    </font>
    <font>
      <name val="Arial"/>
      <b val="1"/>
      <color rgb="00C00000"/>
      <sz val="10"/>
    </font>
    <font>
      <name val="Arial"/>
      <color rgb="00C00000"/>
      <sz val="8"/>
    </font>
    <font>
      <name val="Arial"/>
      <b val="1"/>
      <color rgb="00000000"/>
      <sz val="9"/>
    </font>
    <font>
      <name val="Arial"/>
      <color rgb="00008000"/>
      <sz val="10"/>
    </font>
    <font>
      <name val="Arial"/>
      <color rgb="00000000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0" fontId="3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4" fontId="10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4" fontId="4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Populi</author>
  </authors>
  <commentList>
    <comment ref="B3" authorId="0" shapeId="0">
      <text>
        <t>Jumlah responden yang ingin dikumpulkan.</t>
      </text>
    </comment>
    <comment ref="B4" authorId="0" shapeId="0">
      <text>
        <t>Berapa responden diwawancara per desa/titik.</t>
      </text>
    </comment>
    <comment ref="B5" authorId="0" shapeId="0">
      <text>
        <t>Jaminan cakupan: tiap provinsi minimal sekian titik.</t>
      </text>
    </comment>
    <comment ref="B6" authorId="0" shapeId="0">
      <text>
        <t>Ketik PENDUDUK atau DPT. Menentukan ukuran wilayah.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Contoh Random Sampling — 38 Provinsi (rumus berjalan)</t>
        </is>
      </c>
    </row>
    <row r="3" ht="42" customHeight="1">
      <c r="A3" s="2" t="inlineStr">
        <is>
          <t>Apa ini</t>
        </is>
      </c>
      <c r="B3" s="3" t="inlineStr">
        <is>
          <t>Workbook contoh yang mereproduksi engine Random Sampling Populi Center di Excel. Semua angka alokasi dihitung LEWAT RUMUS — ubah input, angka ikut berubah.</t>
        </is>
      </c>
    </row>
    <row r="4" ht="42" customHeight="1">
      <c r="A4" s="2" t="inlineStr">
        <is>
          <t>Sumber data</t>
        </is>
      </c>
      <c r="B4" s="3" t="inlineStr">
        <is>
          <t>Sheet 'Referensi' = DPT &amp; Penduduk 38 provinsi (data asli, non-PII, dari sampling-service/data/referensi_provinsi.csv).</t>
        </is>
      </c>
    </row>
    <row r="5" ht="42" customHeight="1">
      <c r="A5" s="2" t="inlineStr">
        <is>
          <t>PENTING — MFD</t>
        </is>
      </c>
      <c r="B5" s="3" t="inlineStr">
        <is>
          <t>Sheet 'MFD' berisi SAMPEL DUMMY (nama desa 'DESA CONTOH ...') hanya agar rumus Kota/Desa &amp; PPS menyala. GANTI seluruh isi sheet MFD dengan MFD BPS asli (kolom sama). Kolom J (PENDUDUK_DESA) opsional — syarat PPS self-weighting.</t>
        </is>
      </c>
    </row>
    <row r="6" ht="42" customHeight="1">
      <c r="A6" s="2" t="inlineStr">
        <is>
          <t>Cara pakai</t>
        </is>
      </c>
      <c r="B6" s="3" t="inlineStr">
        <is>
          <t>1) Buka sheet 'Parameter', isi sel kuning (target responden, responden/titik, minimum, basis). 2) Lihat 'Alokasi Proporsional' / 'Alokasi Akar-N' / 'PPS Sistematik'. 3) Ganti MFD dengan data asli bila ingin split Kota/Desa &amp; PPS nyata.</t>
        </is>
      </c>
    </row>
    <row r="7" ht="42" customHeight="1">
      <c r="A7" s="2" t="inlineStr">
        <is>
          <t>Legenda warna</t>
        </is>
      </c>
      <c r="B7" s="3" t="inlineStr">
        <is>
          <t>Kuning = sel input yang boleh Anda ubah. Hijau = link antar-sheet. Hitam = rumus.</t>
        </is>
      </c>
    </row>
    <row r="8" ht="42" customHeight="1">
      <c r="A8" s="2" t="inlineStr">
        <is>
          <t>Metodologi</t>
        </is>
      </c>
      <c r="B8" s="3" t="inlineStr">
        <is>
          <t>Penjelasan rumus lengkap: docs/metodologi-sampling.md</t>
        </is>
      </c>
    </row>
    <row r="9" ht="42" customHeight="1">
      <c r="A9" s="2" t="inlineStr">
        <is>
          <t>Catatan</t>
        </is>
      </c>
      <c r="B9" s="3" t="inlineStr">
        <is>
          <t>Excel dipakai untuk VERIFIKASI pola. Angka desa terpilih tak akan identik dengan generator (RNG numpy berbeda), tapi ALOKASI (jumlah titik per wilayah) sama persis karena deterministik.</t>
        </is>
      </c>
    </row>
  </sheetData>
  <mergeCells count="7">
    <mergeCell ref="B8:H8"/>
    <mergeCell ref="B9:H9"/>
    <mergeCell ref="B4:H4"/>
    <mergeCell ref="B6:H6"/>
    <mergeCell ref="B7:H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4" customWidth="1" min="3" max="3"/>
  </cols>
  <sheetData>
    <row r="1">
      <c r="A1" s="1" t="inlineStr">
        <is>
          <t>Parameter Sampling</t>
        </is>
      </c>
    </row>
    <row r="3">
      <c r="A3" s="4" t="inlineStr">
        <is>
          <t>Target responden (n_total)</t>
        </is>
      </c>
      <c r="B3" s="5" t="n">
        <v>1200</v>
      </c>
    </row>
    <row r="4">
      <c r="A4" s="4" t="inlineStr">
        <is>
          <t>Responden per titik (cluster_size)</t>
        </is>
      </c>
      <c r="B4" s="5" t="n">
        <v>10</v>
      </c>
    </row>
    <row r="5">
      <c r="A5" s="4" t="inlineStr">
        <is>
          <t>Minimum titik per provinsi (min_per_unit)</t>
        </is>
      </c>
      <c r="B5" s="5" t="n">
        <v>1</v>
      </c>
    </row>
    <row r="6">
      <c r="A6" s="4" t="inlineStr">
        <is>
          <t>Basis alokasi (PENDUDUK / DPT)</t>
        </is>
      </c>
      <c r="B6" s="5" t="inlineStr">
        <is>
          <t>PENDUDUK</t>
        </is>
      </c>
    </row>
    <row r="7">
      <c r="A7" s="4" t="inlineStr">
        <is>
          <t>Jumlah provinsi</t>
        </is>
      </c>
      <c r="B7" s="6">
        <f>COUNTA(Referensi!B3:B40)</f>
        <v/>
      </c>
    </row>
    <row r="8">
      <c r="A8" s="4" t="inlineStr">
        <is>
          <t>Jumlah titik (n_titik = CEILING(n_total/cluster))</t>
        </is>
      </c>
      <c r="B8" s="6">
        <f>CEILING(B3/B4,1)</f>
        <v/>
      </c>
    </row>
    <row r="9">
      <c r="A9" s="4" t="inlineStr">
        <is>
          <t>Sisa setelah minimum (= n_titik - min*Jumlah_prov)</t>
        </is>
      </c>
      <c r="B9" s="6">
        <f>B8-B5*B7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4" customWidth="1" min="4" max="4"/>
  </cols>
  <sheetData>
    <row r="1">
      <c r="A1" s="2" t="inlineStr">
        <is>
          <t>Referensi Provinsi (DPT &amp; Penduduk) — data asli, non-PII</t>
        </is>
      </c>
    </row>
    <row r="2">
      <c r="A2" s="7" t="inlineStr">
        <is>
          <t>NO</t>
        </is>
      </c>
      <c r="B2" s="7" t="inlineStr">
        <is>
          <t>NMPROP</t>
        </is>
      </c>
      <c r="C2" s="7" t="inlineStr">
        <is>
          <t>DPT</t>
        </is>
      </c>
      <c r="D2" s="7" t="inlineStr">
        <is>
          <t>PENDUDUK</t>
        </is>
      </c>
    </row>
    <row r="3">
      <c r="A3" s="6" t="n">
        <v>1</v>
      </c>
      <c r="B3" s="8" t="inlineStr">
        <is>
          <t>ACEH</t>
        </is>
      </c>
      <c r="C3" s="9" t="n">
        <v>3742037</v>
      </c>
      <c r="D3" s="9" t="n">
        <v>5333733</v>
      </c>
    </row>
    <row r="4">
      <c r="A4" s="6" t="n">
        <v>2</v>
      </c>
      <c r="B4" s="8" t="inlineStr">
        <is>
          <t>SUMATERA UTARA</t>
        </is>
      </c>
      <c r="C4" s="9" t="n">
        <v>10853940</v>
      </c>
      <c r="D4" s="9" t="n">
        <v>14936148</v>
      </c>
    </row>
    <row r="5">
      <c r="A5" s="6" t="n">
        <v>3</v>
      </c>
      <c r="B5" s="8" t="inlineStr">
        <is>
          <t>SUMATERA BARAT</t>
        </is>
      </c>
      <c r="C5" s="9" t="n">
        <v>4088606</v>
      </c>
      <c r="D5" s="9" t="n">
        <v>5580232</v>
      </c>
    </row>
    <row r="6">
      <c r="A6" s="6" t="n">
        <v>4</v>
      </c>
      <c r="B6" s="8" t="inlineStr">
        <is>
          <t>RIAU</t>
        </is>
      </c>
      <c r="C6" s="9" t="n">
        <v>4732174</v>
      </c>
      <c r="D6" s="9" t="n">
        <v>6493603</v>
      </c>
    </row>
    <row r="7">
      <c r="A7" s="6" t="n">
        <v>5</v>
      </c>
      <c r="B7" s="8" t="inlineStr">
        <is>
          <t>JAMBI</t>
        </is>
      </c>
      <c r="C7" s="9" t="n">
        <v>2676107</v>
      </c>
      <c r="D7" s="9" t="n">
        <v>3585100</v>
      </c>
    </row>
    <row r="8">
      <c r="A8" s="6" t="n">
        <v>6</v>
      </c>
      <c r="B8" s="8" t="inlineStr">
        <is>
          <t>SUMATERA SELATAN</t>
        </is>
      </c>
      <c r="C8" s="9" t="n">
        <v>6326348</v>
      </c>
      <c r="D8" s="9" t="n">
        <v>8550849</v>
      </c>
    </row>
    <row r="9">
      <c r="A9" s="6" t="n">
        <v>7</v>
      </c>
      <c r="B9" s="8" t="inlineStr">
        <is>
          <t>BENGKULU</t>
        </is>
      </c>
      <c r="C9" s="9" t="n">
        <v>1494828</v>
      </c>
      <c r="D9" s="9" t="n">
        <v>2032940</v>
      </c>
    </row>
    <row r="10">
      <c r="A10" s="6" t="n">
        <v>8</v>
      </c>
      <c r="B10" s="8" t="inlineStr">
        <is>
          <t>LAMPUNG</t>
        </is>
      </c>
      <c r="C10" s="9" t="n">
        <v>6539128</v>
      </c>
      <c r="D10" s="9" t="n">
        <v>9081792</v>
      </c>
    </row>
    <row r="11">
      <c r="A11" s="6" t="n">
        <v>9</v>
      </c>
      <c r="B11" s="8" t="inlineStr">
        <is>
          <t>BANGKA BELITUNG</t>
        </is>
      </c>
      <c r="C11" s="9" t="n">
        <v>1067434</v>
      </c>
      <c r="D11" s="9" t="n">
        <v>1473100</v>
      </c>
    </row>
    <row r="12">
      <c r="A12" s="6" t="n">
        <v>10</v>
      </c>
      <c r="B12" s="8" t="inlineStr">
        <is>
          <t>KEPULAUAN RIAU</t>
        </is>
      </c>
      <c r="C12" s="9" t="n">
        <v>1500974</v>
      </c>
      <c r="D12" s="9" t="n">
        <v>2118239</v>
      </c>
    </row>
    <row r="13">
      <c r="A13" s="6" t="n">
        <v>11</v>
      </c>
      <c r="B13" s="8" t="inlineStr">
        <is>
          <t>DKI JAKARTA</t>
        </is>
      </c>
      <c r="C13" s="9" t="n">
        <v>8252897</v>
      </c>
      <c r="D13" s="9" t="n">
        <v>10609681</v>
      </c>
    </row>
    <row r="14">
      <c r="A14" s="6" t="n">
        <v>12</v>
      </c>
      <c r="B14" s="8" t="inlineStr">
        <is>
          <t>JAWA BARAT</t>
        </is>
      </c>
      <c r="C14" s="9" t="n">
        <v>35714901</v>
      </c>
      <c r="D14" s="9" t="n">
        <v>48782400</v>
      </c>
    </row>
    <row r="15">
      <c r="A15" s="6" t="n">
        <v>13</v>
      </c>
      <c r="B15" s="8" t="inlineStr">
        <is>
          <t>JAWA TENGAH</t>
        </is>
      </c>
      <c r="C15" s="9" t="n">
        <v>28289413</v>
      </c>
      <c r="D15" s="9" t="n">
        <v>36742501</v>
      </c>
    </row>
    <row r="16">
      <c r="A16" s="6" t="n">
        <v>14</v>
      </c>
      <c r="B16" s="8" t="inlineStr">
        <is>
          <t>D.I YOGYAKARTA</t>
        </is>
      </c>
      <c r="C16" s="9" t="n">
        <v>2870974</v>
      </c>
      <c r="D16" s="9" t="n">
        <v>3712896</v>
      </c>
    </row>
    <row r="17">
      <c r="A17" s="6" t="n">
        <v>15</v>
      </c>
      <c r="B17" s="8" t="inlineStr">
        <is>
          <t>JAWA TIMUR</t>
        </is>
      </c>
      <c r="C17" s="9" t="n">
        <v>31402838</v>
      </c>
      <c r="D17" s="9" t="n">
        <v>40878789</v>
      </c>
    </row>
    <row r="18">
      <c r="A18" s="6" t="n">
        <v>16</v>
      </c>
      <c r="B18" s="8" t="inlineStr">
        <is>
          <t>BANTEN</t>
        </is>
      </c>
      <c r="C18" s="9" t="n">
        <v>8842646</v>
      </c>
      <c r="D18" s="9" t="n">
        <v>12061475</v>
      </c>
    </row>
    <row r="19">
      <c r="A19" s="6" t="n">
        <v>17</v>
      </c>
      <c r="B19" s="8" t="inlineStr">
        <is>
          <t>BALI</t>
        </is>
      </c>
      <c r="C19" s="9" t="n">
        <v>3269516</v>
      </c>
      <c r="D19" s="9" t="n">
        <v>4362700</v>
      </c>
    </row>
    <row r="20">
      <c r="A20" s="6" t="n">
        <v>18</v>
      </c>
      <c r="B20" s="8" t="inlineStr">
        <is>
          <t>NUSA TENGGARA BARAT</t>
        </is>
      </c>
      <c r="C20" s="9" t="n">
        <v>3918291</v>
      </c>
      <c r="D20" s="9" t="n">
        <v>5390000</v>
      </c>
    </row>
    <row r="21">
      <c r="A21" s="6" t="n">
        <v>19</v>
      </c>
      <c r="B21" s="8" t="inlineStr">
        <is>
          <t>NUSA TENGGARA TIMUR</t>
        </is>
      </c>
      <c r="C21" s="9" t="n">
        <v>4008475</v>
      </c>
      <c r="D21" s="9" t="n">
        <v>5387738</v>
      </c>
    </row>
    <row r="22">
      <c r="A22" s="6" t="n">
        <v>20</v>
      </c>
      <c r="B22" s="8" t="inlineStr">
        <is>
          <t>KALIMANTAN BARAT</t>
        </is>
      </c>
      <c r="C22" s="9" t="n">
        <v>3958561</v>
      </c>
      <c r="D22" s="9" t="n">
        <v>5470797</v>
      </c>
    </row>
    <row r="23">
      <c r="A23" s="6" t="n">
        <v>21</v>
      </c>
      <c r="B23" s="8" t="inlineStr">
        <is>
          <t>KALIMANTAN TENGAH</t>
        </is>
      </c>
      <c r="C23" s="9" t="n">
        <v>1935116</v>
      </c>
      <c r="D23" s="9" t="n">
        <v>2702200</v>
      </c>
    </row>
    <row r="24">
      <c r="A24" s="6" t="n">
        <v>22</v>
      </c>
      <c r="B24" s="8" t="inlineStr">
        <is>
          <t>KALIMANTAN SELATAN</t>
        </is>
      </c>
      <c r="C24" s="9" t="n">
        <v>3025220</v>
      </c>
      <c r="D24" s="9" t="n">
        <v>4122580</v>
      </c>
    </row>
    <row r="25">
      <c r="A25" s="6" t="n">
        <v>23</v>
      </c>
      <c r="B25" s="8" t="inlineStr">
        <is>
          <t>KALIMANTAN TIMUR</t>
        </is>
      </c>
      <c r="C25" s="9" t="n">
        <v>2778644</v>
      </c>
      <c r="D25" s="9" t="n">
        <v>3808235</v>
      </c>
    </row>
    <row r="26">
      <c r="A26" s="6" t="n">
        <v>24</v>
      </c>
      <c r="B26" s="8" t="inlineStr">
        <is>
          <t>KALIMANTAN UTARA</t>
        </is>
      </c>
      <c r="C26" s="9" t="n">
        <v>504252</v>
      </c>
      <c r="D26" s="9" t="n">
        <v>713600</v>
      </c>
    </row>
    <row r="27">
      <c r="A27" s="6" t="n">
        <v>25</v>
      </c>
      <c r="B27" s="8" t="inlineStr">
        <is>
          <t>SULAWESI UTARA</t>
        </is>
      </c>
      <c r="C27" s="9" t="n">
        <v>1969603</v>
      </c>
      <c r="D27" s="9" t="n">
        <v>2638631</v>
      </c>
    </row>
    <row r="28">
      <c r="A28" s="6" t="n">
        <v>26</v>
      </c>
      <c r="B28" s="8" t="inlineStr">
        <is>
          <t>SULAWESI TENGAH</t>
        </is>
      </c>
      <c r="C28" s="9" t="n">
        <v>2236703</v>
      </c>
      <c r="D28" s="9" t="n">
        <v>3021880</v>
      </c>
    </row>
    <row r="29">
      <c r="A29" s="6" t="n">
        <v>27</v>
      </c>
      <c r="B29" s="8" t="inlineStr">
        <is>
          <t>SULAWESI SELATAN</t>
        </is>
      </c>
      <c r="C29" s="9" t="n">
        <v>6670582</v>
      </c>
      <c r="D29" s="9" t="n">
        <v>9139500</v>
      </c>
    </row>
    <row r="30">
      <c r="A30" s="6" t="n">
        <v>28</v>
      </c>
      <c r="B30" s="8" t="inlineStr">
        <is>
          <t>SULAWESI TENGGARA</t>
        </is>
      </c>
      <c r="C30" s="9" t="n">
        <v>1867931</v>
      </c>
      <c r="D30" s="9" t="n">
        <v>2659156</v>
      </c>
    </row>
    <row r="31">
      <c r="A31" s="6" t="n">
        <v>29</v>
      </c>
      <c r="B31" s="8" t="inlineStr">
        <is>
          <t>GORONTALO</t>
        </is>
      </c>
      <c r="C31" s="9" t="n">
        <v>881206</v>
      </c>
      <c r="D31" s="9" t="n">
        <v>1180948</v>
      </c>
    </row>
    <row r="32">
      <c r="A32" s="6" t="n">
        <v>30</v>
      </c>
      <c r="B32" s="8" t="inlineStr">
        <is>
          <t>SULAWESI BARAT</t>
        </is>
      </c>
      <c r="C32" s="9" t="n">
        <v>985760</v>
      </c>
      <c r="D32" s="9" t="n">
        <v>1436842</v>
      </c>
    </row>
    <row r="33">
      <c r="A33" s="6" t="n">
        <v>31</v>
      </c>
      <c r="B33" s="8" t="inlineStr">
        <is>
          <t>MALUKU</t>
        </is>
      </c>
      <c r="C33" s="9" t="n">
        <v>1341012</v>
      </c>
      <c r="D33" s="9" t="n">
        <v>1862626</v>
      </c>
    </row>
    <row r="34">
      <c r="A34" s="6" t="n">
        <v>32</v>
      </c>
      <c r="B34" s="8" t="inlineStr">
        <is>
          <t>MALUKU UTARA</t>
        </is>
      </c>
      <c r="C34" s="9" t="n">
        <v>953978</v>
      </c>
      <c r="D34" s="9" t="n">
        <v>1299177</v>
      </c>
    </row>
    <row r="35">
      <c r="A35" s="6" t="n">
        <v>33</v>
      </c>
      <c r="B35" s="8" t="inlineStr">
        <is>
          <t>PAPUA BARAT</t>
        </is>
      </c>
      <c r="C35" s="9" t="n">
        <v>385465</v>
      </c>
      <c r="D35" s="9" t="n">
        <v>583176</v>
      </c>
    </row>
    <row r="36">
      <c r="A36" s="6" t="n">
        <v>34</v>
      </c>
      <c r="B36" s="8" t="inlineStr">
        <is>
          <t>PAPUA</t>
        </is>
      </c>
      <c r="C36" s="9" t="n">
        <v>727835</v>
      </c>
      <c r="D36" s="9" t="n">
        <v>1020190</v>
      </c>
    </row>
    <row r="37">
      <c r="A37" s="6" t="n">
        <v>35</v>
      </c>
      <c r="B37" s="8" t="inlineStr">
        <is>
          <t>PAPUA TENGAH</t>
        </is>
      </c>
      <c r="C37" s="9" t="n">
        <v>1128844</v>
      </c>
      <c r="D37" s="9" t="n">
        <v>1408991</v>
      </c>
    </row>
    <row r="38">
      <c r="A38" s="6" t="n">
        <v>36</v>
      </c>
      <c r="B38" s="8" t="inlineStr">
        <is>
          <t>PAPUA BARAT DAYA</t>
        </is>
      </c>
      <c r="C38" s="9" t="n">
        <v>440826</v>
      </c>
      <c r="D38" s="9" t="n">
        <v>573664</v>
      </c>
    </row>
    <row r="39">
      <c r="A39" s="6" t="n">
        <v>37</v>
      </c>
      <c r="B39" s="8" t="inlineStr">
        <is>
          <t>PAPUA PEGUNUNGAN</t>
        </is>
      </c>
      <c r="C39" s="9" t="n">
        <v>1306414</v>
      </c>
      <c r="D39" s="9" t="n">
        <v>1408641</v>
      </c>
    </row>
    <row r="40">
      <c r="A40" s="6" t="n">
        <v>38</v>
      </c>
      <c r="B40" s="8" t="inlineStr">
        <is>
          <t>PAPUA SELATAN</t>
        </is>
      </c>
      <c r="C40" s="9" t="n">
        <v>367269</v>
      </c>
      <c r="D40" s="9" t="n">
        <v>517623</v>
      </c>
    </row>
    <row r="41">
      <c r="B41" s="10" t="inlineStr">
        <is>
          <t>Sumber: sampling-service/data/referensi_provinsi.csv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22" customWidth="1" min="5" max="5"/>
    <col width="20" customWidth="1" min="6" max="6"/>
    <col width="18" customWidth="1" min="7" max="7"/>
    <col width="26" customWidth="1" min="8" max="8"/>
    <col width="5" customWidth="1" min="9" max="9"/>
    <col width="14" customWidth="1" min="10" max="10"/>
  </cols>
  <sheetData>
    <row r="1">
      <c r="A1" s="11" t="inlineStr">
        <is>
          <t>MFD — SAMPEL DUMMY (ganti dengan MFD BPS asli). 1 baris = 1 desa/kelurahan.</t>
        </is>
      </c>
    </row>
    <row r="2">
      <c r="A2" s="7" t="inlineStr">
        <is>
          <t>KODEPROP</t>
        </is>
      </c>
      <c r="B2" s="7" t="inlineStr">
        <is>
          <t>KAB</t>
        </is>
      </c>
      <c r="C2" s="7" t="inlineStr">
        <is>
          <t>KEC</t>
        </is>
      </c>
      <c r="D2" s="7" t="inlineStr">
        <is>
          <t>DESA</t>
        </is>
      </c>
      <c r="E2" s="7" t="inlineStr">
        <is>
          <t>NMPROP</t>
        </is>
      </c>
      <c r="F2" s="7" t="inlineStr">
        <is>
          <t>NMKAB</t>
        </is>
      </c>
      <c r="G2" s="7" t="inlineStr">
        <is>
          <t>NMKEC</t>
        </is>
      </c>
      <c r="H2" s="7" t="inlineStr">
        <is>
          <t>NMDESA</t>
        </is>
      </c>
      <c r="I2" s="7" t="inlineStr">
        <is>
          <t>UR</t>
        </is>
      </c>
      <c r="J2" s="7" t="inlineStr">
        <is>
          <t>PENDUDUK_DESA</t>
        </is>
      </c>
    </row>
    <row r="3">
      <c r="A3" s="8" t="n">
        <v>11</v>
      </c>
      <c r="B3" s="8" t="n">
        <v>2</v>
      </c>
      <c r="C3" s="8" t="n">
        <v>2</v>
      </c>
      <c r="D3" s="8" t="n">
        <v>1</v>
      </c>
      <c r="E3" s="8" t="inlineStr">
        <is>
          <t>ACEH</t>
        </is>
      </c>
      <c r="F3" s="8" t="inlineStr">
        <is>
          <t>KAB/KOTA CONTOH 2</t>
        </is>
      </c>
      <c r="G3" s="8" t="inlineStr">
        <is>
          <t>KEC CONTOH 2</t>
        </is>
      </c>
      <c r="H3" s="8" t="inlineStr">
        <is>
          <t>KELURAHAN CONTOH 01-001</t>
        </is>
      </c>
      <c r="I3" s="6" t="n">
        <v>1</v>
      </c>
      <c r="J3" s="9" t="n">
        <v>764501</v>
      </c>
    </row>
    <row r="4">
      <c r="A4" s="8" t="n">
        <v>11</v>
      </c>
      <c r="B4" s="8" t="n">
        <v>3</v>
      </c>
      <c r="C4" s="8" t="n">
        <v>3</v>
      </c>
      <c r="D4" s="8" t="n">
        <v>2</v>
      </c>
      <c r="E4" s="8" t="inlineStr">
        <is>
          <t>ACEH</t>
        </is>
      </c>
      <c r="F4" s="8" t="inlineStr">
        <is>
          <t>KAB/KOTA CONTOH 3</t>
        </is>
      </c>
      <c r="G4" s="8" t="inlineStr">
        <is>
          <t>KEC CONTOH 3</t>
        </is>
      </c>
      <c r="H4" s="8" t="inlineStr">
        <is>
          <t>KELURAHAN CONTOH 01-002</t>
        </is>
      </c>
      <c r="I4" s="6" t="n">
        <v>1</v>
      </c>
      <c r="J4" s="9" t="n">
        <v>995629</v>
      </c>
    </row>
    <row r="5">
      <c r="A5" s="8" t="n">
        <v>11</v>
      </c>
      <c r="B5" s="8" t="n">
        <v>4</v>
      </c>
      <c r="C5" s="8" t="n">
        <v>4</v>
      </c>
      <c r="D5" s="8" t="n">
        <v>3</v>
      </c>
      <c r="E5" s="8" t="inlineStr">
        <is>
          <t>ACEH</t>
        </is>
      </c>
      <c r="F5" s="8" t="inlineStr">
        <is>
          <t>KAB/KOTA CONTOH 4</t>
        </is>
      </c>
      <c r="G5" s="8" t="inlineStr">
        <is>
          <t>KEC CONTOH 4</t>
        </is>
      </c>
      <c r="H5" s="8" t="inlineStr">
        <is>
          <t>DESA CONTOH 01-003</t>
        </is>
      </c>
      <c r="I5" s="6" t="n">
        <v>2</v>
      </c>
      <c r="J5" s="9" t="n">
        <v>1226757</v>
      </c>
    </row>
    <row r="6">
      <c r="A6" s="8" t="n">
        <v>11</v>
      </c>
      <c r="B6" s="8" t="n">
        <v>5</v>
      </c>
      <c r="C6" s="8" t="n">
        <v>5</v>
      </c>
      <c r="D6" s="8" t="n">
        <v>4</v>
      </c>
      <c r="E6" s="8" t="inlineStr">
        <is>
          <t>ACEH</t>
        </is>
      </c>
      <c r="F6" s="8" t="inlineStr">
        <is>
          <t>KAB/KOTA CONTOH 5</t>
        </is>
      </c>
      <c r="G6" s="8" t="inlineStr">
        <is>
          <t>KEC CONTOH 5</t>
        </is>
      </c>
      <c r="H6" s="8" t="inlineStr">
        <is>
          <t>DESA CONTOH 01-004</t>
        </is>
      </c>
      <c r="I6" s="6" t="n">
        <v>2</v>
      </c>
      <c r="J6" s="9" t="n">
        <v>728943</v>
      </c>
    </row>
    <row r="7">
      <c r="A7" s="8" t="n">
        <v>11</v>
      </c>
      <c r="B7" s="8" t="n">
        <v>6</v>
      </c>
      <c r="C7" s="8" t="n">
        <v>6</v>
      </c>
      <c r="D7" s="8" t="n">
        <v>5</v>
      </c>
      <c r="E7" s="8" t="inlineStr">
        <is>
          <t>ACEH</t>
        </is>
      </c>
      <c r="F7" s="8" t="inlineStr">
        <is>
          <t>KAB/KOTA CONTOH 6</t>
        </is>
      </c>
      <c r="G7" s="8" t="inlineStr">
        <is>
          <t>KEC CONTOH 6</t>
        </is>
      </c>
      <c r="H7" s="8" t="inlineStr">
        <is>
          <t>DESA CONTOH 01-005</t>
        </is>
      </c>
      <c r="I7" s="6" t="n">
        <v>2</v>
      </c>
      <c r="J7" s="9" t="n">
        <v>960071</v>
      </c>
    </row>
    <row r="8">
      <c r="A8" s="8" t="n">
        <v>11</v>
      </c>
      <c r="B8" s="8" t="n">
        <v>7</v>
      </c>
      <c r="C8" s="8" t="n">
        <v>7</v>
      </c>
      <c r="D8" s="8" t="n">
        <v>6</v>
      </c>
      <c r="E8" s="8" t="inlineStr">
        <is>
          <t>ACEH</t>
        </is>
      </c>
      <c r="F8" s="8" t="inlineStr">
        <is>
          <t>KAB/KOTA CONTOH 7</t>
        </is>
      </c>
      <c r="G8" s="8" t="inlineStr">
        <is>
          <t>KEC CONTOH 7</t>
        </is>
      </c>
      <c r="H8" s="8" t="inlineStr">
        <is>
          <t>DESA CONTOH 01-006</t>
        </is>
      </c>
      <c r="I8" s="6" t="n">
        <v>2</v>
      </c>
      <c r="J8" s="9" t="n">
        <v>1191199</v>
      </c>
    </row>
    <row r="9">
      <c r="A9" s="8" t="n">
        <v>12</v>
      </c>
      <c r="B9" s="8" t="n">
        <v>2</v>
      </c>
      <c r="C9" s="8" t="n">
        <v>2</v>
      </c>
      <c r="D9" s="8" t="n">
        <v>1</v>
      </c>
      <c r="E9" s="8" t="inlineStr">
        <is>
          <t>SUMATERA UTARA</t>
        </is>
      </c>
      <c r="F9" s="8" t="inlineStr">
        <is>
          <t>KAB/KOTA CONTOH 2</t>
        </is>
      </c>
      <c r="G9" s="8" t="inlineStr">
        <is>
          <t>KEC CONTOH 2</t>
        </is>
      </c>
      <c r="H9" s="8" t="inlineStr">
        <is>
          <t>KELURAHAN CONTOH 02-001</t>
        </is>
      </c>
      <c r="I9" s="6" t="n">
        <v>1</v>
      </c>
      <c r="J9" s="9" t="n">
        <v>1867018</v>
      </c>
    </row>
    <row r="10">
      <c r="A10" s="8" t="n">
        <v>12</v>
      </c>
      <c r="B10" s="8" t="n">
        <v>3</v>
      </c>
      <c r="C10" s="8" t="n">
        <v>3</v>
      </c>
      <c r="D10" s="8" t="n">
        <v>2</v>
      </c>
      <c r="E10" s="8" t="inlineStr">
        <is>
          <t>SUMATERA UTARA</t>
        </is>
      </c>
      <c r="F10" s="8" t="inlineStr">
        <is>
          <t>KAB/KOTA CONTOH 3</t>
        </is>
      </c>
      <c r="G10" s="8" t="inlineStr">
        <is>
          <t>KEC CONTOH 3</t>
        </is>
      </c>
      <c r="H10" s="8" t="inlineStr">
        <is>
          <t>KELURAHAN CONTOH 02-002</t>
        </is>
      </c>
      <c r="I10" s="6" t="n">
        <v>1</v>
      </c>
      <c r="J10" s="9" t="n">
        <v>2352442</v>
      </c>
    </row>
    <row r="11">
      <c r="A11" s="8" t="n">
        <v>12</v>
      </c>
      <c r="B11" s="8" t="n">
        <v>4</v>
      </c>
      <c r="C11" s="8" t="n">
        <v>4</v>
      </c>
      <c r="D11" s="8" t="n">
        <v>3</v>
      </c>
      <c r="E11" s="8" t="inlineStr">
        <is>
          <t>SUMATERA UTARA</t>
        </is>
      </c>
      <c r="F11" s="8" t="inlineStr">
        <is>
          <t>KAB/KOTA CONTOH 4</t>
        </is>
      </c>
      <c r="G11" s="8" t="inlineStr">
        <is>
          <t>KEC CONTOH 4</t>
        </is>
      </c>
      <c r="H11" s="8" t="inlineStr">
        <is>
          <t>KELURAHAN CONTOH 02-003</t>
        </is>
      </c>
      <c r="I11" s="6" t="n">
        <v>1</v>
      </c>
      <c r="J11" s="9" t="n">
        <v>1306912</v>
      </c>
    </row>
    <row r="12">
      <c r="A12" s="8" t="n">
        <v>12</v>
      </c>
      <c r="B12" s="8" t="n">
        <v>5</v>
      </c>
      <c r="C12" s="8" t="n">
        <v>5</v>
      </c>
      <c r="D12" s="8" t="n">
        <v>4</v>
      </c>
      <c r="E12" s="8" t="inlineStr">
        <is>
          <t>SUMATERA UTARA</t>
        </is>
      </c>
      <c r="F12" s="8" t="inlineStr">
        <is>
          <t>KAB/KOTA CONTOH 5</t>
        </is>
      </c>
      <c r="G12" s="8" t="inlineStr">
        <is>
          <t>KEC CONTOH 5</t>
        </is>
      </c>
      <c r="H12" s="8" t="inlineStr">
        <is>
          <t>DESA CONTOH 02-004</t>
        </is>
      </c>
      <c r="I12" s="6" t="n">
        <v>2</v>
      </c>
      <c r="J12" s="9" t="n">
        <v>1792337</v>
      </c>
    </row>
    <row r="13">
      <c r="A13" s="8" t="n">
        <v>12</v>
      </c>
      <c r="B13" s="8" t="n">
        <v>6</v>
      </c>
      <c r="C13" s="8" t="n">
        <v>6</v>
      </c>
      <c r="D13" s="8" t="n">
        <v>5</v>
      </c>
      <c r="E13" s="8" t="inlineStr">
        <is>
          <t>SUMATERA UTARA</t>
        </is>
      </c>
      <c r="F13" s="8" t="inlineStr">
        <is>
          <t>KAB/KOTA CONTOH 6</t>
        </is>
      </c>
      <c r="G13" s="8" t="inlineStr">
        <is>
          <t>KEC CONTOH 6</t>
        </is>
      </c>
      <c r="H13" s="8" t="inlineStr">
        <is>
          <t>DESA CONTOH 02-005</t>
        </is>
      </c>
      <c r="I13" s="6" t="n">
        <v>2</v>
      </c>
      <c r="J13" s="9" t="n">
        <v>2277761</v>
      </c>
    </row>
    <row r="14">
      <c r="A14" s="8" t="n">
        <v>12</v>
      </c>
      <c r="B14" s="8" t="n">
        <v>7</v>
      </c>
      <c r="C14" s="8" t="n">
        <v>7</v>
      </c>
      <c r="D14" s="8" t="n">
        <v>6</v>
      </c>
      <c r="E14" s="8" t="inlineStr">
        <is>
          <t>SUMATERA UTARA</t>
        </is>
      </c>
      <c r="F14" s="8" t="inlineStr">
        <is>
          <t>KAB/KOTA CONTOH 7</t>
        </is>
      </c>
      <c r="G14" s="8" t="inlineStr">
        <is>
          <t>KEC CONTOH 7</t>
        </is>
      </c>
      <c r="H14" s="8" t="inlineStr">
        <is>
          <t>DESA CONTOH 02-006</t>
        </is>
      </c>
      <c r="I14" s="6" t="n">
        <v>2</v>
      </c>
      <c r="J14" s="9" t="n">
        <v>1232231</v>
      </c>
    </row>
    <row r="15">
      <c r="A15" s="8" t="n">
        <v>12</v>
      </c>
      <c r="B15" s="8" t="n">
        <v>8</v>
      </c>
      <c r="C15" s="8" t="n">
        <v>8</v>
      </c>
      <c r="D15" s="8" t="n">
        <v>7</v>
      </c>
      <c r="E15" s="8" t="inlineStr">
        <is>
          <t>SUMATERA UTARA</t>
        </is>
      </c>
      <c r="F15" s="8" t="inlineStr">
        <is>
          <t>KAB/KOTA CONTOH 8</t>
        </is>
      </c>
      <c r="G15" s="8" t="inlineStr">
        <is>
          <t>KEC CONTOH 8</t>
        </is>
      </c>
      <c r="H15" s="8" t="inlineStr">
        <is>
          <t>DESA CONTOH 02-007</t>
        </is>
      </c>
      <c r="I15" s="6" t="n">
        <v>2</v>
      </c>
      <c r="J15" s="9" t="n">
        <v>1717656</v>
      </c>
    </row>
    <row r="16">
      <c r="A16" s="8" t="n">
        <v>12</v>
      </c>
      <c r="B16" s="8" t="n">
        <v>9</v>
      </c>
      <c r="C16" s="8" t="n">
        <v>9</v>
      </c>
      <c r="D16" s="8" t="n">
        <v>8</v>
      </c>
      <c r="E16" s="8" t="inlineStr">
        <is>
          <t>SUMATERA UTARA</t>
        </is>
      </c>
      <c r="F16" s="8" t="inlineStr">
        <is>
          <t>KAB/KOTA CONTOH 9</t>
        </is>
      </c>
      <c r="G16" s="8" t="inlineStr">
        <is>
          <t>KEC CONTOH 9</t>
        </is>
      </c>
      <c r="H16" s="8" t="inlineStr">
        <is>
          <t>DESA CONTOH 02-008</t>
        </is>
      </c>
      <c r="I16" s="6" t="n">
        <v>2</v>
      </c>
      <c r="J16" s="9" t="n">
        <v>2203081</v>
      </c>
    </row>
    <row r="17">
      <c r="A17" s="8" t="n">
        <v>13</v>
      </c>
      <c r="B17" s="8" t="n">
        <v>2</v>
      </c>
      <c r="C17" s="8" t="n">
        <v>2</v>
      </c>
      <c r="D17" s="8" t="n">
        <v>1</v>
      </c>
      <c r="E17" s="8" t="inlineStr">
        <is>
          <t>SUMATERA BARAT</t>
        </is>
      </c>
      <c r="F17" s="8" t="inlineStr">
        <is>
          <t>KAB/KOTA CONTOH 2</t>
        </is>
      </c>
      <c r="G17" s="8" t="inlineStr">
        <is>
          <t>KEC CONTOH 2</t>
        </is>
      </c>
      <c r="H17" s="8" t="inlineStr">
        <is>
          <t>KELURAHAN CONTOH 03-001</t>
        </is>
      </c>
      <c r="I17" s="6" t="n">
        <v>1</v>
      </c>
      <c r="J17" s="9" t="n">
        <v>636146</v>
      </c>
    </row>
    <row r="18">
      <c r="A18" s="8" t="n">
        <v>13</v>
      </c>
      <c r="B18" s="8" t="n">
        <v>3</v>
      </c>
      <c r="C18" s="8" t="n">
        <v>3</v>
      </c>
      <c r="D18" s="8" t="n">
        <v>2</v>
      </c>
      <c r="E18" s="8" t="inlineStr">
        <is>
          <t>SUMATERA BARAT</t>
        </is>
      </c>
      <c r="F18" s="8" t="inlineStr">
        <is>
          <t>KAB/KOTA CONTOH 3</t>
        </is>
      </c>
      <c r="G18" s="8" t="inlineStr">
        <is>
          <t>KEC CONTOH 3</t>
        </is>
      </c>
      <c r="H18" s="8" t="inlineStr">
        <is>
          <t>KELURAHAN CONTOH 03-002</t>
        </is>
      </c>
      <c r="I18" s="6" t="n">
        <v>1</v>
      </c>
      <c r="J18" s="9" t="n">
        <v>781232</v>
      </c>
    </row>
    <row r="19">
      <c r="A19" s="8" t="n">
        <v>13</v>
      </c>
      <c r="B19" s="8" t="n">
        <v>4</v>
      </c>
      <c r="C19" s="8" t="n">
        <v>4</v>
      </c>
      <c r="D19" s="8" t="n">
        <v>3</v>
      </c>
      <c r="E19" s="8" t="inlineStr">
        <is>
          <t>SUMATERA BARAT</t>
        </is>
      </c>
      <c r="F19" s="8" t="inlineStr">
        <is>
          <t>KAB/KOTA CONTOH 4</t>
        </is>
      </c>
      <c r="G19" s="8" t="inlineStr">
        <is>
          <t>KEC CONTOH 4</t>
        </is>
      </c>
      <c r="H19" s="8" t="inlineStr">
        <is>
          <t>KELURAHAN CONTOH 03-003</t>
        </is>
      </c>
      <c r="I19" s="6" t="n">
        <v>1</v>
      </c>
      <c r="J19" s="9" t="n">
        <v>468739</v>
      </c>
    </row>
    <row r="20">
      <c r="A20" s="8" t="n">
        <v>13</v>
      </c>
      <c r="B20" s="8" t="n">
        <v>5</v>
      </c>
      <c r="C20" s="8" t="n">
        <v>5</v>
      </c>
      <c r="D20" s="8" t="n">
        <v>4</v>
      </c>
      <c r="E20" s="8" t="inlineStr">
        <is>
          <t>SUMATERA BARAT</t>
        </is>
      </c>
      <c r="F20" s="8" t="inlineStr">
        <is>
          <t>KAB/KOTA CONTOH 5</t>
        </is>
      </c>
      <c r="G20" s="8" t="inlineStr">
        <is>
          <t>KEC CONTOH 5</t>
        </is>
      </c>
      <c r="H20" s="8" t="inlineStr">
        <is>
          <t>KELURAHAN CONTOH 03-004</t>
        </is>
      </c>
      <c r="I20" s="6" t="n">
        <v>1</v>
      </c>
      <c r="J20" s="9" t="n">
        <v>613825</v>
      </c>
    </row>
    <row r="21">
      <c r="A21" s="8" t="n">
        <v>13</v>
      </c>
      <c r="B21" s="8" t="n">
        <v>6</v>
      </c>
      <c r="C21" s="8" t="n">
        <v>6</v>
      </c>
      <c r="D21" s="8" t="n">
        <v>5</v>
      </c>
      <c r="E21" s="8" t="inlineStr">
        <is>
          <t>SUMATERA BARAT</t>
        </is>
      </c>
      <c r="F21" s="8" t="inlineStr">
        <is>
          <t>KAB/KOTA CONTOH 6</t>
        </is>
      </c>
      <c r="G21" s="8" t="inlineStr">
        <is>
          <t>KEC CONTOH 6</t>
        </is>
      </c>
      <c r="H21" s="8" t="inlineStr">
        <is>
          <t>DESA CONTOH 03-005</t>
        </is>
      </c>
      <c r="I21" s="6" t="n">
        <v>2</v>
      </c>
      <c r="J21" s="9" t="n">
        <v>758911</v>
      </c>
    </row>
    <row r="22">
      <c r="A22" s="8" t="n">
        <v>13</v>
      </c>
      <c r="B22" s="8" t="n">
        <v>7</v>
      </c>
      <c r="C22" s="8" t="n">
        <v>7</v>
      </c>
      <c r="D22" s="8" t="n">
        <v>6</v>
      </c>
      <c r="E22" s="8" t="inlineStr">
        <is>
          <t>SUMATERA BARAT</t>
        </is>
      </c>
      <c r="F22" s="8" t="inlineStr">
        <is>
          <t>KAB/KOTA CONTOH 7</t>
        </is>
      </c>
      <c r="G22" s="8" t="inlineStr">
        <is>
          <t>KEC CONTOH 7</t>
        </is>
      </c>
      <c r="H22" s="8" t="inlineStr">
        <is>
          <t>DESA CONTOH 03-006</t>
        </is>
      </c>
      <c r="I22" s="6" t="n">
        <v>2</v>
      </c>
      <c r="J22" s="9" t="n">
        <v>446418</v>
      </c>
    </row>
    <row r="23">
      <c r="A23" s="8" t="n">
        <v>13</v>
      </c>
      <c r="B23" s="8" t="n">
        <v>8</v>
      </c>
      <c r="C23" s="8" t="n">
        <v>8</v>
      </c>
      <c r="D23" s="8" t="n">
        <v>7</v>
      </c>
      <c r="E23" s="8" t="inlineStr">
        <is>
          <t>SUMATERA BARAT</t>
        </is>
      </c>
      <c r="F23" s="8" t="inlineStr">
        <is>
          <t>KAB/KOTA CONTOH 8</t>
        </is>
      </c>
      <c r="G23" s="8" t="inlineStr">
        <is>
          <t>KEC CONTOH 8</t>
        </is>
      </c>
      <c r="H23" s="8" t="inlineStr">
        <is>
          <t>DESA CONTOH 03-007</t>
        </is>
      </c>
      <c r="I23" s="6" t="n">
        <v>2</v>
      </c>
      <c r="J23" s="9" t="n">
        <v>591504</v>
      </c>
    </row>
    <row r="24">
      <c r="A24" s="8" t="n">
        <v>13</v>
      </c>
      <c r="B24" s="8" t="n">
        <v>9</v>
      </c>
      <c r="C24" s="8" t="n">
        <v>9</v>
      </c>
      <c r="D24" s="8" t="n">
        <v>8</v>
      </c>
      <c r="E24" s="8" t="inlineStr">
        <is>
          <t>SUMATERA BARAT</t>
        </is>
      </c>
      <c r="F24" s="8" t="inlineStr">
        <is>
          <t>KAB/KOTA CONTOH 9</t>
        </is>
      </c>
      <c r="G24" s="8" t="inlineStr">
        <is>
          <t>KEC CONTOH 9</t>
        </is>
      </c>
      <c r="H24" s="8" t="inlineStr">
        <is>
          <t>DESA CONTOH 03-008</t>
        </is>
      </c>
      <c r="I24" s="6" t="n">
        <v>2</v>
      </c>
      <c r="J24" s="9" t="n">
        <v>736590</v>
      </c>
    </row>
    <row r="25">
      <c r="A25" s="8" t="n">
        <v>13</v>
      </c>
      <c r="B25" s="8" t="n">
        <v>1</v>
      </c>
      <c r="C25" s="8" t="n">
        <v>10</v>
      </c>
      <c r="D25" s="8" t="n">
        <v>9</v>
      </c>
      <c r="E25" s="8" t="inlineStr">
        <is>
          <t>SUMATERA BARAT</t>
        </is>
      </c>
      <c r="F25" s="8" t="inlineStr">
        <is>
          <t>KAB/KOTA CONTOH 1</t>
        </is>
      </c>
      <c r="G25" s="8" t="inlineStr">
        <is>
          <t>KEC CONTOH 10</t>
        </is>
      </c>
      <c r="H25" s="8" t="inlineStr">
        <is>
          <t>DESA CONTOH 03-009</t>
        </is>
      </c>
      <c r="I25" s="6" t="n">
        <v>2</v>
      </c>
      <c r="J25" s="9" t="n">
        <v>424097</v>
      </c>
    </row>
    <row r="26">
      <c r="A26" s="8" t="n">
        <v>13</v>
      </c>
      <c r="B26" s="8" t="n">
        <v>2</v>
      </c>
      <c r="C26" s="8" t="n">
        <v>11</v>
      </c>
      <c r="D26" s="8" t="n">
        <v>10</v>
      </c>
      <c r="E26" s="8" t="inlineStr">
        <is>
          <t>SUMATERA BARAT</t>
        </is>
      </c>
      <c r="F26" s="8" t="inlineStr">
        <is>
          <t>KAB/KOTA CONTOH 2</t>
        </is>
      </c>
      <c r="G26" s="8" t="inlineStr">
        <is>
          <t>KEC CONTOH 11</t>
        </is>
      </c>
      <c r="H26" s="8" t="inlineStr">
        <is>
          <t>DESA CONTOH 03-010</t>
        </is>
      </c>
      <c r="I26" s="6" t="n">
        <v>2</v>
      </c>
      <c r="J26" s="9" t="n">
        <v>569183</v>
      </c>
    </row>
    <row r="27">
      <c r="A27" s="8" t="n">
        <v>14</v>
      </c>
      <c r="B27" s="8" t="n">
        <v>2</v>
      </c>
      <c r="C27" s="8" t="n">
        <v>2</v>
      </c>
      <c r="D27" s="8" t="n">
        <v>1</v>
      </c>
      <c r="E27" s="8" t="inlineStr">
        <is>
          <t>RIAU</t>
        </is>
      </c>
      <c r="F27" s="8" t="inlineStr">
        <is>
          <t>KAB/KOTA CONTOH 2</t>
        </is>
      </c>
      <c r="G27" s="8" t="inlineStr">
        <is>
          <t>KEC CONTOH 2</t>
        </is>
      </c>
      <c r="H27" s="8" t="inlineStr">
        <is>
          <t>KELURAHAN CONTOH 04-001</t>
        </is>
      </c>
      <c r="I27" s="6" t="n">
        <v>1</v>
      </c>
      <c r="J27" s="9" t="n">
        <v>692650</v>
      </c>
    </row>
    <row r="28">
      <c r="A28" s="8" t="n">
        <v>14</v>
      </c>
      <c r="B28" s="8" t="n">
        <v>3</v>
      </c>
      <c r="C28" s="8" t="n">
        <v>3</v>
      </c>
      <c r="D28" s="8" t="n">
        <v>2</v>
      </c>
      <c r="E28" s="8" t="inlineStr">
        <is>
          <t>RIAU</t>
        </is>
      </c>
      <c r="F28" s="8" t="inlineStr">
        <is>
          <t>KAB/KOTA CONTOH 3</t>
        </is>
      </c>
      <c r="G28" s="8" t="inlineStr">
        <is>
          <t>KEC CONTOH 3</t>
        </is>
      </c>
      <c r="H28" s="8" t="inlineStr">
        <is>
          <t>KELURAHAN CONTOH 04-002</t>
        </is>
      </c>
      <c r="I28" s="6" t="n">
        <v>1</v>
      </c>
      <c r="J28" s="9" t="n">
        <v>389615</v>
      </c>
    </row>
    <row r="29">
      <c r="A29" s="8" t="n">
        <v>14</v>
      </c>
      <c r="B29" s="8" t="n">
        <v>4</v>
      </c>
      <c r="C29" s="8" t="n">
        <v>4</v>
      </c>
      <c r="D29" s="8" t="n">
        <v>3</v>
      </c>
      <c r="E29" s="8" t="inlineStr">
        <is>
          <t>RIAU</t>
        </is>
      </c>
      <c r="F29" s="8" t="inlineStr">
        <is>
          <t>KAB/KOTA CONTOH 4</t>
        </is>
      </c>
      <c r="G29" s="8" t="inlineStr">
        <is>
          <t>KEC CONTOH 4</t>
        </is>
      </c>
      <c r="H29" s="8" t="inlineStr">
        <is>
          <t>KELURAHAN CONTOH 04-003</t>
        </is>
      </c>
      <c r="I29" s="6" t="n">
        <v>1</v>
      </c>
      <c r="J29" s="9" t="n">
        <v>530310</v>
      </c>
    </row>
    <row r="30">
      <c r="A30" s="8" t="n">
        <v>14</v>
      </c>
      <c r="B30" s="8" t="n">
        <v>5</v>
      </c>
      <c r="C30" s="8" t="n">
        <v>5</v>
      </c>
      <c r="D30" s="8" t="n">
        <v>4</v>
      </c>
      <c r="E30" s="8" t="inlineStr">
        <is>
          <t>RIAU</t>
        </is>
      </c>
      <c r="F30" s="8" t="inlineStr">
        <is>
          <t>KAB/KOTA CONTOH 5</t>
        </is>
      </c>
      <c r="G30" s="8" t="inlineStr">
        <is>
          <t>KEC CONTOH 5</t>
        </is>
      </c>
      <c r="H30" s="8" t="inlineStr">
        <is>
          <t>KELURAHAN CONTOH 04-004</t>
        </is>
      </c>
      <c r="I30" s="6" t="n">
        <v>1</v>
      </c>
      <c r="J30" s="9" t="n">
        <v>671004</v>
      </c>
    </row>
    <row r="31">
      <c r="A31" s="8" t="n">
        <v>14</v>
      </c>
      <c r="B31" s="8" t="n">
        <v>6</v>
      </c>
      <c r="C31" s="8" t="n">
        <v>6</v>
      </c>
      <c r="D31" s="8" t="n">
        <v>5</v>
      </c>
      <c r="E31" s="8" t="inlineStr">
        <is>
          <t>RIAU</t>
        </is>
      </c>
      <c r="F31" s="8" t="inlineStr">
        <is>
          <t>KAB/KOTA CONTOH 6</t>
        </is>
      </c>
      <c r="G31" s="8" t="inlineStr">
        <is>
          <t>KEC CONTOH 6</t>
        </is>
      </c>
      <c r="H31" s="8" t="inlineStr">
        <is>
          <t>KELURAHAN CONTOH 04-005</t>
        </is>
      </c>
      <c r="I31" s="6" t="n">
        <v>1</v>
      </c>
      <c r="J31" s="9" t="n">
        <v>367970</v>
      </c>
    </row>
    <row r="32">
      <c r="A32" s="8" t="n">
        <v>14</v>
      </c>
      <c r="B32" s="8" t="n">
        <v>7</v>
      </c>
      <c r="C32" s="8" t="n">
        <v>7</v>
      </c>
      <c r="D32" s="8" t="n">
        <v>6</v>
      </c>
      <c r="E32" s="8" t="inlineStr">
        <is>
          <t>RIAU</t>
        </is>
      </c>
      <c r="F32" s="8" t="inlineStr">
        <is>
          <t>KAB/KOTA CONTOH 7</t>
        </is>
      </c>
      <c r="G32" s="8" t="inlineStr">
        <is>
          <t>KEC CONTOH 7</t>
        </is>
      </c>
      <c r="H32" s="8" t="inlineStr">
        <is>
          <t>DESA CONTOH 04-006</t>
        </is>
      </c>
      <c r="I32" s="6" t="n">
        <v>2</v>
      </c>
      <c r="J32" s="9" t="n">
        <v>508665</v>
      </c>
    </row>
    <row r="33">
      <c r="A33" s="8" t="n">
        <v>14</v>
      </c>
      <c r="B33" s="8" t="n">
        <v>8</v>
      </c>
      <c r="C33" s="8" t="n">
        <v>8</v>
      </c>
      <c r="D33" s="8" t="n">
        <v>7</v>
      </c>
      <c r="E33" s="8" t="inlineStr">
        <is>
          <t>RIAU</t>
        </is>
      </c>
      <c r="F33" s="8" t="inlineStr">
        <is>
          <t>KAB/KOTA CONTOH 8</t>
        </is>
      </c>
      <c r="G33" s="8" t="inlineStr">
        <is>
          <t>KEC CONTOH 8</t>
        </is>
      </c>
      <c r="H33" s="8" t="inlineStr">
        <is>
          <t>DESA CONTOH 04-007</t>
        </is>
      </c>
      <c r="I33" s="6" t="n">
        <v>2</v>
      </c>
      <c r="J33" s="9" t="n">
        <v>649359</v>
      </c>
    </row>
    <row r="34">
      <c r="A34" s="8" t="n">
        <v>14</v>
      </c>
      <c r="B34" s="8" t="n">
        <v>9</v>
      </c>
      <c r="C34" s="8" t="n">
        <v>9</v>
      </c>
      <c r="D34" s="8" t="n">
        <v>8</v>
      </c>
      <c r="E34" s="8" t="inlineStr">
        <is>
          <t>RIAU</t>
        </is>
      </c>
      <c r="F34" s="8" t="inlineStr">
        <is>
          <t>KAB/KOTA CONTOH 9</t>
        </is>
      </c>
      <c r="G34" s="8" t="inlineStr">
        <is>
          <t>KEC CONTOH 9</t>
        </is>
      </c>
      <c r="H34" s="8" t="inlineStr">
        <is>
          <t>DESA CONTOH 04-008</t>
        </is>
      </c>
      <c r="I34" s="6" t="n">
        <v>2</v>
      </c>
      <c r="J34" s="9" t="n">
        <v>346325</v>
      </c>
    </row>
    <row r="35">
      <c r="A35" s="8" t="n">
        <v>14</v>
      </c>
      <c r="B35" s="8" t="n">
        <v>1</v>
      </c>
      <c r="C35" s="8" t="n">
        <v>10</v>
      </c>
      <c r="D35" s="8" t="n">
        <v>9</v>
      </c>
      <c r="E35" s="8" t="inlineStr">
        <is>
          <t>RIAU</t>
        </is>
      </c>
      <c r="F35" s="8" t="inlineStr">
        <is>
          <t>KAB/KOTA CONTOH 1</t>
        </is>
      </c>
      <c r="G35" s="8" t="inlineStr">
        <is>
          <t>KEC CONTOH 10</t>
        </is>
      </c>
      <c r="H35" s="8" t="inlineStr">
        <is>
          <t>DESA CONTOH 04-009</t>
        </is>
      </c>
      <c r="I35" s="6" t="n">
        <v>2</v>
      </c>
      <c r="J35" s="9" t="n">
        <v>487019</v>
      </c>
    </row>
    <row r="36">
      <c r="A36" s="8" t="n">
        <v>14</v>
      </c>
      <c r="B36" s="8" t="n">
        <v>2</v>
      </c>
      <c r="C36" s="8" t="n">
        <v>11</v>
      </c>
      <c r="D36" s="8" t="n">
        <v>10</v>
      </c>
      <c r="E36" s="8" t="inlineStr">
        <is>
          <t>RIAU</t>
        </is>
      </c>
      <c r="F36" s="8" t="inlineStr">
        <is>
          <t>KAB/KOTA CONTOH 2</t>
        </is>
      </c>
      <c r="G36" s="8" t="inlineStr">
        <is>
          <t>KEC CONTOH 11</t>
        </is>
      </c>
      <c r="H36" s="8" t="inlineStr">
        <is>
          <t>DESA CONTOH 04-010</t>
        </is>
      </c>
      <c r="I36" s="6" t="n">
        <v>2</v>
      </c>
      <c r="J36" s="9" t="n">
        <v>627714</v>
      </c>
    </row>
    <row r="37">
      <c r="A37" s="8" t="n">
        <v>14</v>
      </c>
      <c r="B37" s="8" t="n">
        <v>3</v>
      </c>
      <c r="C37" s="8" t="n">
        <v>12</v>
      </c>
      <c r="D37" s="8" t="n">
        <v>11</v>
      </c>
      <c r="E37" s="8" t="inlineStr">
        <is>
          <t>RIAU</t>
        </is>
      </c>
      <c r="F37" s="8" t="inlineStr">
        <is>
          <t>KAB/KOTA CONTOH 3</t>
        </is>
      </c>
      <c r="G37" s="8" t="inlineStr">
        <is>
          <t>KEC CONTOH 12</t>
        </is>
      </c>
      <c r="H37" s="8" t="inlineStr">
        <is>
          <t>DESA CONTOH 04-011</t>
        </is>
      </c>
      <c r="I37" s="6" t="n">
        <v>2</v>
      </c>
      <c r="J37" s="9" t="n">
        <v>324679</v>
      </c>
    </row>
    <row r="38">
      <c r="A38" s="8" t="n">
        <v>14</v>
      </c>
      <c r="B38" s="8" t="n">
        <v>4</v>
      </c>
      <c r="C38" s="8" t="n">
        <v>13</v>
      </c>
      <c r="D38" s="8" t="n">
        <v>12</v>
      </c>
      <c r="E38" s="8" t="inlineStr">
        <is>
          <t>RIAU</t>
        </is>
      </c>
      <c r="F38" s="8" t="inlineStr">
        <is>
          <t>KAB/KOTA CONTOH 4</t>
        </is>
      </c>
      <c r="G38" s="8" t="inlineStr">
        <is>
          <t>KEC CONTOH 13</t>
        </is>
      </c>
      <c r="H38" s="8" t="inlineStr">
        <is>
          <t>DESA CONTOH 04-012</t>
        </is>
      </c>
      <c r="I38" s="6" t="n">
        <v>2</v>
      </c>
      <c r="J38" s="9" t="n">
        <v>465374</v>
      </c>
    </row>
    <row r="39">
      <c r="A39" s="8" t="n">
        <v>15</v>
      </c>
      <c r="B39" s="8" t="n">
        <v>2</v>
      </c>
      <c r="C39" s="8" t="n">
        <v>2</v>
      </c>
      <c r="D39" s="8" t="n">
        <v>1</v>
      </c>
      <c r="E39" s="8" t="inlineStr">
        <is>
          <t>JAMBI</t>
        </is>
      </c>
      <c r="F39" s="8" t="inlineStr">
        <is>
          <t>KAB/KOTA CONTOH 2</t>
        </is>
      </c>
      <c r="G39" s="8" t="inlineStr">
        <is>
          <t>KEC CONTOH 2</t>
        </is>
      </c>
      <c r="H39" s="8" t="inlineStr">
        <is>
          <t>KELURAHAN CONTOH 05-001</t>
        </is>
      </c>
      <c r="I39" s="6" t="n">
        <v>1</v>
      </c>
      <c r="J39" s="9" t="n">
        <v>215106</v>
      </c>
    </row>
    <row r="40">
      <c r="A40" s="8" t="n">
        <v>15</v>
      </c>
      <c r="B40" s="8" t="n">
        <v>3</v>
      </c>
      <c r="C40" s="8" t="n">
        <v>3</v>
      </c>
      <c r="D40" s="8" t="n">
        <v>2</v>
      </c>
      <c r="E40" s="8" t="inlineStr">
        <is>
          <t>JAMBI</t>
        </is>
      </c>
      <c r="F40" s="8" t="inlineStr">
        <is>
          <t>KAB/KOTA CONTOH 3</t>
        </is>
      </c>
      <c r="G40" s="8" t="inlineStr">
        <is>
          <t>KEC CONTOH 3</t>
        </is>
      </c>
      <c r="H40" s="8" t="inlineStr">
        <is>
          <t>KELURAHAN CONTOH 05-002</t>
        </is>
      </c>
      <c r="I40" s="6" t="n">
        <v>1</v>
      </c>
      <c r="J40" s="9" t="n">
        <v>308318</v>
      </c>
    </row>
    <row r="41">
      <c r="A41" s="8" t="n">
        <v>15</v>
      </c>
      <c r="B41" s="8" t="n">
        <v>4</v>
      </c>
      <c r="C41" s="8" t="n">
        <v>4</v>
      </c>
      <c r="D41" s="8" t="n">
        <v>3</v>
      </c>
      <c r="E41" s="8" t="inlineStr">
        <is>
          <t>JAMBI</t>
        </is>
      </c>
      <c r="F41" s="8" t="inlineStr">
        <is>
          <t>KAB/KOTA CONTOH 4</t>
        </is>
      </c>
      <c r="G41" s="8" t="inlineStr">
        <is>
          <t>KEC CONTOH 4</t>
        </is>
      </c>
      <c r="H41" s="8" t="inlineStr">
        <is>
          <t>DESA CONTOH 05-003</t>
        </is>
      </c>
      <c r="I41" s="6" t="n">
        <v>2</v>
      </c>
      <c r="J41" s="9" t="n">
        <v>401531</v>
      </c>
    </row>
    <row r="42">
      <c r="A42" s="8" t="n">
        <v>15</v>
      </c>
      <c r="B42" s="8" t="n">
        <v>5</v>
      </c>
      <c r="C42" s="8" t="n">
        <v>5</v>
      </c>
      <c r="D42" s="8" t="n">
        <v>4</v>
      </c>
      <c r="E42" s="8" t="inlineStr">
        <is>
          <t>JAMBI</t>
        </is>
      </c>
      <c r="F42" s="8" t="inlineStr">
        <is>
          <t>KAB/KOTA CONTOH 5</t>
        </is>
      </c>
      <c r="G42" s="8" t="inlineStr">
        <is>
          <t>KEC CONTOH 5</t>
        </is>
      </c>
      <c r="H42" s="8" t="inlineStr">
        <is>
          <t>DESA CONTOH 05-004</t>
        </is>
      </c>
      <c r="I42" s="6" t="n">
        <v>2</v>
      </c>
      <c r="J42" s="9" t="n">
        <v>494743</v>
      </c>
    </row>
    <row r="43">
      <c r="A43" s="8" t="n">
        <v>15</v>
      </c>
      <c r="B43" s="8" t="n">
        <v>6</v>
      </c>
      <c r="C43" s="8" t="n">
        <v>6</v>
      </c>
      <c r="D43" s="8" t="n">
        <v>5</v>
      </c>
      <c r="E43" s="8" t="inlineStr">
        <is>
          <t>JAMBI</t>
        </is>
      </c>
      <c r="F43" s="8" t="inlineStr">
        <is>
          <t>KAB/KOTA CONTOH 6</t>
        </is>
      </c>
      <c r="G43" s="8" t="inlineStr">
        <is>
          <t>KEC CONTOH 6</t>
        </is>
      </c>
      <c r="H43" s="8" t="inlineStr">
        <is>
          <t>DESA CONTOH 05-005</t>
        </is>
      </c>
      <c r="I43" s="6" t="n">
        <v>2</v>
      </c>
      <c r="J43" s="9" t="n">
        <v>293978</v>
      </c>
    </row>
    <row r="44">
      <c r="A44" s="8" t="n">
        <v>15</v>
      </c>
      <c r="B44" s="8" t="n">
        <v>7</v>
      </c>
      <c r="C44" s="8" t="n">
        <v>7</v>
      </c>
      <c r="D44" s="8" t="n">
        <v>6</v>
      </c>
      <c r="E44" s="8" t="inlineStr">
        <is>
          <t>JAMBI</t>
        </is>
      </c>
      <c r="F44" s="8" t="inlineStr">
        <is>
          <t>KAB/KOTA CONTOH 7</t>
        </is>
      </c>
      <c r="G44" s="8" t="inlineStr">
        <is>
          <t>KEC CONTOH 7</t>
        </is>
      </c>
      <c r="H44" s="8" t="inlineStr">
        <is>
          <t>DESA CONTOH 05-006</t>
        </is>
      </c>
      <c r="I44" s="6" t="n">
        <v>2</v>
      </c>
      <c r="J44" s="9" t="n">
        <v>387190</v>
      </c>
    </row>
    <row r="45">
      <c r="A45" s="8" t="n">
        <v>15</v>
      </c>
      <c r="B45" s="8" t="n">
        <v>8</v>
      </c>
      <c r="C45" s="8" t="n">
        <v>8</v>
      </c>
      <c r="D45" s="8" t="n">
        <v>7</v>
      </c>
      <c r="E45" s="8" t="inlineStr">
        <is>
          <t>JAMBI</t>
        </is>
      </c>
      <c r="F45" s="8" t="inlineStr">
        <is>
          <t>KAB/KOTA CONTOH 8</t>
        </is>
      </c>
      <c r="G45" s="8" t="inlineStr">
        <is>
          <t>KEC CONTOH 8</t>
        </is>
      </c>
      <c r="H45" s="8" t="inlineStr">
        <is>
          <t>DESA CONTOH 05-007</t>
        </is>
      </c>
      <c r="I45" s="6" t="n">
        <v>2</v>
      </c>
      <c r="J45" s="9" t="n">
        <v>480403</v>
      </c>
    </row>
    <row r="46">
      <c r="A46" s="8" t="n">
        <v>15</v>
      </c>
      <c r="B46" s="8" t="n">
        <v>9</v>
      </c>
      <c r="C46" s="8" t="n">
        <v>9</v>
      </c>
      <c r="D46" s="8" t="n">
        <v>8</v>
      </c>
      <c r="E46" s="8" t="inlineStr">
        <is>
          <t>JAMBI</t>
        </is>
      </c>
      <c r="F46" s="8" t="inlineStr">
        <is>
          <t>KAB/KOTA CONTOH 9</t>
        </is>
      </c>
      <c r="G46" s="8" t="inlineStr">
        <is>
          <t>KEC CONTOH 9</t>
        </is>
      </c>
      <c r="H46" s="8" t="inlineStr">
        <is>
          <t>DESA CONTOH 05-008</t>
        </is>
      </c>
      <c r="I46" s="6" t="n">
        <v>2</v>
      </c>
      <c r="J46" s="9" t="n">
        <v>279637</v>
      </c>
    </row>
    <row r="47">
      <c r="A47" s="8" t="n">
        <v>15</v>
      </c>
      <c r="B47" s="8" t="n">
        <v>1</v>
      </c>
      <c r="C47" s="8" t="n">
        <v>10</v>
      </c>
      <c r="D47" s="8" t="n">
        <v>9</v>
      </c>
      <c r="E47" s="8" t="inlineStr">
        <is>
          <t>JAMBI</t>
        </is>
      </c>
      <c r="F47" s="8" t="inlineStr">
        <is>
          <t>KAB/KOTA CONTOH 1</t>
        </is>
      </c>
      <c r="G47" s="8" t="inlineStr">
        <is>
          <t>KEC CONTOH 10</t>
        </is>
      </c>
      <c r="H47" s="8" t="inlineStr">
        <is>
          <t>DESA CONTOH 05-009</t>
        </is>
      </c>
      <c r="I47" s="6" t="n">
        <v>2</v>
      </c>
      <c r="J47" s="9" t="n">
        <v>372850</v>
      </c>
    </row>
    <row r="48">
      <c r="A48" s="8" t="n">
        <v>15</v>
      </c>
      <c r="B48" s="8" t="n">
        <v>2</v>
      </c>
      <c r="C48" s="8" t="n">
        <v>11</v>
      </c>
      <c r="D48" s="8" t="n">
        <v>10</v>
      </c>
      <c r="E48" s="8" t="inlineStr">
        <is>
          <t>JAMBI</t>
        </is>
      </c>
      <c r="F48" s="8" t="inlineStr">
        <is>
          <t>KAB/KOTA CONTOH 2</t>
        </is>
      </c>
      <c r="G48" s="8" t="inlineStr">
        <is>
          <t>KEC CONTOH 11</t>
        </is>
      </c>
      <c r="H48" s="8" t="inlineStr">
        <is>
          <t>DESA CONTOH 05-010</t>
        </is>
      </c>
      <c r="I48" s="6" t="n">
        <v>2</v>
      </c>
      <c r="J48" s="9" t="n">
        <v>466062</v>
      </c>
    </row>
    <row r="49">
      <c r="A49" s="8" t="n">
        <v>16</v>
      </c>
      <c r="B49" s="8" t="n">
        <v>2</v>
      </c>
      <c r="C49" s="8" t="n">
        <v>2</v>
      </c>
      <c r="D49" s="8" t="n">
        <v>1</v>
      </c>
      <c r="E49" s="8" t="inlineStr">
        <is>
          <t>SUMATERA SELATAN</t>
        </is>
      </c>
      <c r="F49" s="8" t="inlineStr">
        <is>
          <t>KAB/KOTA CONTOH 2</t>
        </is>
      </c>
      <c r="G49" s="8" t="inlineStr">
        <is>
          <t>KEC CONTOH 2</t>
        </is>
      </c>
      <c r="H49" s="8" t="inlineStr">
        <is>
          <t>KELURAHAN CONTOH 06-001</t>
        </is>
      </c>
      <c r="I49" s="6" t="n">
        <v>1</v>
      </c>
      <c r="J49" s="9" t="n">
        <v>527301</v>
      </c>
    </row>
    <row r="50">
      <c r="A50" s="8" t="n">
        <v>16</v>
      </c>
      <c r="B50" s="8" t="n">
        <v>3</v>
      </c>
      <c r="C50" s="8" t="n">
        <v>3</v>
      </c>
      <c r="D50" s="8" t="n">
        <v>2</v>
      </c>
      <c r="E50" s="8" t="inlineStr">
        <is>
          <t>SUMATERA SELATAN</t>
        </is>
      </c>
      <c r="F50" s="8" t="inlineStr">
        <is>
          <t>KAB/KOTA CONTOH 3</t>
        </is>
      </c>
      <c r="G50" s="8" t="inlineStr">
        <is>
          <t>KEC CONTOH 3</t>
        </is>
      </c>
      <c r="H50" s="8" t="inlineStr">
        <is>
          <t>KELURAHAN CONTOH 06-002</t>
        </is>
      </c>
      <c r="I50" s="6" t="n">
        <v>1</v>
      </c>
      <c r="J50" s="9" t="n">
        <v>712570</v>
      </c>
    </row>
    <row r="51">
      <c r="A51" s="8" t="n">
        <v>16</v>
      </c>
      <c r="B51" s="8" t="n">
        <v>4</v>
      </c>
      <c r="C51" s="8" t="n">
        <v>4</v>
      </c>
      <c r="D51" s="8" t="n">
        <v>3</v>
      </c>
      <c r="E51" s="8" t="inlineStr">
        <is>
          <t>SUMATERA SELATAN</t>
        </is>
      </c>
      <c r="F51" s="8" t="inlineStr">
        <is>
          <t>KAB/KOTA CONTOH 4</t>
        </is>
      </c>
      <c r="G51" s="8" t="inlineStr">
        <is>
          <t>KEC CONTOH 4</t>
        </is>
      </c>
      <c r="H51" s="8" t="inlineStr">
        <is>
          <t>KELURAHAN CONTOH 06-003</t>
        </is>
      </c>
      <c r="I51" s="6" t="n">
        <v>1</v>
      </c>
      <c r="J51" s="9" t="n">
        <v>897838</v>
      </c>
    </row>
    <row r="52">
      <c r="A52" s="8" t="n">
        <v>16</v>
      </c>
      <c r="B52" s="8" t="n">
        <v>5</v>
      </c>
      <c r="C52" s="8" t="n">
        <v>5</v>
      </c>
      <c r="D52" s="8" t="n">
        <v>4</v>
      </c>
      <c r="E52" s="8" t="inlineStr">
        <is>
          <t>SUMATERA SELATAN</t>
        </is>
      </c>
      <c r="F52" s="8" t="inlineStr">
        <is>
          <t>KAB/KOTA CONTOH 5</t>
        </is>
      </c>
      <c r="G52" s="8" t="inlineStr">
        <is>
          <t>KEC CONTOH 5</t>
        </is>
      </c>
      <c r="H52" s="8" t="inlineStr">
        <is>
          <t>DESA CONTOH 06-004</t>
        </is>
      </c>
      <c r="I52" s="6" t="n">
        <v>2</v>
      </c>
      <c r="J52" s="9" t="n">
        <v>498798</v>
      </c>
    </row>
    <row r="53">
      <c r="A53" s="8" t="n">
        <v>16</v>
      </c>
      <c r="B53" s="8" t="n">
        <v>6</v>
      </c>
      <c r="C53" s="8" t="n">
        <v>6</v>
      </c>
      <c r="D53" s="8" t="n">
        <v>5</v>
      </c>
      <c r="E53" s="8" t="inlineStr">
        <is>
          <t>SUMATERA SELATAN</t>
        </is>
      </c>
      <c r="F53" s="8" t="inlineStr">
        <is>
          <t>KAB/KOTA CONTOH 6</t>
        </is>
      </c>
      <c r="G53" s="8" t="inlineStr">
        <is>
          <t>KEC CONTOH 6</t>
        </is>
      </c>
      <c r="H53" s="8" t="inlineStr">
        <is>
          <t>DESA CONTOH 06-005</t>
        </is>
      </c>
      <c r="I53" s="6" t="n">
        <v>2</v>
      </c>
      <c r="J53" s="9" t="n">
        <v>684067</v>
      </c>
    </row>
    <row r="54">
      <c r="A54" s="8" t="n">
        <v>16</v>
      </c>
      <c r="B54" s="8" t="n">
        <v>7</v>
      </c>
      <c r="C54" s="8" t="n">
        <v>7</v>
      </c>
      <c r="D54" s="8" t="n">
        <v>6</v>
      </c>
      <c r="E54" s="8" t="inlineStr">
        <is>
          <t>SUMATERA SELATAN</t>
        </is>
      </c>
      <c r="F54" s="8" t="inlineStr">
        <is>
          <t>KAB/KOTA CONTOH 7</t>
        </is>
      </c>
      <c r="G54" s="8" t="inlineStr">
        <is>
          <t>KEC CONTOH 7</t>
        </is>
      </c>
      <c r="H54" s="8" t="inlineStr">
        <is>
          <t>DESA CONTOH 06-006</t>
        </is>
      </c>
      <c r="I54" s="6" t="n">
        <v>2</v>
      </c>
      <c r="J54" s="9" t="n">
        <v>869335</v>
      </c>
    </row>
    <row r="55">
      <c r="A55" s="8" t="n">
        <v>16</v>
      </c>
      <c r="B55" s="8" t="n">
        <v>8</v>
      </c>
      <c r="C55" s="8" t="n">
        <v>8</v>
      </c>
      <c r="D55" s="8" t="n">
        <v>7</v>
      </c>
      <c r="E55" s="8" t="inlineStr">
        <is>
          <t>SUMATERA SELATAN</t>
        </is>
      </c>
      <c r="F55" s="8" t="inlineStr">
        <is>
          <t>KAB/KOTA CONTOH 8</t>
        </is>
      </c>
      <c r="G55" s="8" t="inlineStr">
        <is>
          <t>KEC CONTOH 8</t>
        </is>
      </c>
      <c r="H55" s="8" t="inlineStr">
        <is>
          <t>DESA CONTOH 06-007</t>
        </is>
      </c>
      <c r="I55" s="6" t="n">
        <v>2</v>
      </c>
      <c r="J55" s="9" t="n">
        <v>470296</v>
      </c>
    </row>
    <row r="56">
      <c r="A56" s="8" t="n">
        <v>16</v>
      </c>
      <c r="B56" s="8" t="n">
        <v>9</v>
      </c>
      <c r="C56" s="8" t="n">
        <v>9</v>
      </c>
      <c r="D56" s="8" t="n">
        <v>8</v>
      </c>
      <c r="E56" s="8" t="inlineStr">
        <is>
          <t>SUMATERA SELATAN</t>
        </is>
      </c>
      <c r="F56" s="8" t="inlineStr">
        <is>
          <t>KAB/KOTA CONTOH 9</t>
        </is>
      </c>
      <c r="G56" s="8" t="inlineStr">
        <is>
          <t>KEC CONTOH 9</t>
        </is>
      </c>
      <c r="H56" s="8" t="inlineStr">
        <is>
          <t>DESA CONTOH 06-008</t>
        </is>
      </c>
      <c r="I56" s="6" t="n">
        <v>2</v>
      </c>
      <c r="J56" s="9" t="n">
        <v>655564</v>
      </c>
    </row>
    <row r="57">
      <c r="A57" s="8" t="n">
        <v>16</v>
      </c>
      <c r="B57" s="8" t="n">
        <v>1</v>
      </c>
      <c r="C57" s="8" t="n">
        <v>10</v>
      </c>
      <c r="D57" s="8" t="n">
        <v>9</v>
      </c>
      <c r="E57" s="8" t="inlineStr">
        <is>
          <t>SUMATERA SELATAN</t>
        </is>
      </c>
      <c r="F57" s="8" t="inlineStr">
        <is>
          <t>KAB/KOTA CONTOH 1</t>
        </is>
      </c>
      <c r="G57" s="8" t="inlineStr">
        <is>
          <t>KEC CONTOH 10</t>
        </is>
      </c>
      <c r="H57" s="8" t="inlineStr">
        <is>
          <t>DESA CONTOH 06-009</t>
        </is>
      </c>
      <c r="I57" s="6" t="n">
        <v>2</v>
      </c>
      <c r="J57" s="9" t="n">
        <v>840832</v>
      </c>
    </row>
    <row r="58">
      <c r="A58" s="8" t="n">
        <v>16</v>
      </c>
      <c r="B58" s="8" t="n">
        <v>2</v>
      </c>
      <c r="C58" s="8" t="n">
        <v>11</v>
      </c>
      <c r="D58" s="8" t="n">
        <v>10</v>
      </c>
      <c r="E58" s="8" t="inlineStr">
        <is>
          <t>SUMATERA SELATAN</t>
        </is>
      </c>
      <c r="F58" s="8" t="inlineStr">
        <is>
          <t>KAB/KOTA CONTOH 2</t>
        </is>
      </c>
      <c r="G58" s="8" t="inlineStr">
        <is>
          <t>KEC CONTOH 11</t>
        </is>
      </c>
      <c r="H58" s="8" t="inlineStr">
        <is>
          <t>DESA CONTOH 06-010</t>
        </is>
      </c>
      <c r="I58" s="6" t="n">
        <v>2</v>
      </c>
      <c r="J58" s="9" t="n">
        <v>441793</v>
      </c>
    </row>
    <row r="59">
      <c r="A59" s="8" t="n">
        <v>16</v>
      </c>
      <c r="B59" s="8" t="n">
        <v>3</v>
      </c>
      <c r="C59" s="8" t="n">
        <v>12</v>
      </c>
      <c r="D59" s="8" t="n">
        <v>11</v>
      </c>
      <c r="E59" s="8" t="inlineStr">
        <is>
          <t>SUMATERA SELATAN</t>
        </is>
      </c>
      <c r="F59" s="8" t="inlineStr">
        <is>
          <t>KAB/KOTA CONTOH 3</t>
        </is>
      </c>
      <c r="G59" s="8" t="inlineStr">
        <is>
          <t>KEC CONTOH 12</t>
        </is>
      </c>
      <c r="H59" s="8" t="inlineStr">
        <is>
          <t>DESA CONTOH 06-011</t>
        </is>
      </c>
      <c r="I59" s="6" t="n">
        <v>2</v>
      </c>
      <c r="J59" s="9" t="n">
        <v>627061</v>
      </c>
    </row>
    <row r="60">
      <c r="A60" s="8" t="n">
        <v>16</v>
      </c>
      <c r="B60" s="8" t="n">
        <v>4</v>
      </c>
      <c r="C60" s="8" t="n">
        <v>13</v>
      </c>
      <c r="D60" s="8" t="n">
        <v>12</v>
      </c>
      <c r="E60" s="8" t="inlineStr">
        <is>
          <t>SUMATERA SELATAN</t>
        </is>
      </c>
      <c r="F60" s="8" t="inlineStr">
        <is>
          <t>KAB/KOTA CONTOH 4</t>
        </is>
      </c>
      <c r="G60" s="8" t="inlineStr">
        <is>
          <t>KEC CONTOH 13</t>
        </is>
      </c>
      <c r="H60" s="8" t="inlineStr">
        <is>
          <t>DESA CONTOH 06-012</t>
        </is>
      </c>
      <c r="I60" s="6" t="n">
        <v>2</v>
      </c>
      <c r="J60" s="9" t="n">
        <v>812329</v>
      </c>
    </row>
    <row r="61">
      <c r="A61" s="8" t="n">
        <v>17</v>
      </c>
      <c r="B61" s="8" t="n">
        <v>2</v>
      </c>
      <c r="C61" s="8" t="n">
        <v>2</v>
      </c>
      <c r="D61" s="8" t="n">
        <v>1</v>
      </c>
      <c r="E61" s="8" t="inlineStr">
        <is>
          <t>BENGKULU</t>
        </is>
      </c>
      <c r="F61" s="8" t="inlineStr">
        <is>
          <t>KAB/KOTA CONTOH 2</t>
        </is>
      </c>
      <c r="G61" s="8" t="inlineStr">
        <is>
          <t>KEC CONTOH 2</t>
        </is>
      </c>
      <c r="H61" s="8" t="inlineStr">
        <is>
          <t>KELURAHAN CONTOH 07-001</t>
        </is>
      </c>
      <c r="I61" s="6" t="n">
        <v>1</v>
      </c>
      <c r="J61" s="9" t="n">
        <v>127784</v>
      </c>
    </row>
    <row r="62">
      <c r="A62" s="8" t="n">
        <v>17</v>
      </c>
      <c r="B62" s="8" t="n">
        <v>3</v>
      </c>
      <c r="C62" s="8" t="n">
        <v>3</v>
      </c>
      <c r="D62" s="8" t="n">
        <v>2</v>
      </c>
      <c r="E62" s="8" t="inlineStr">
        <is>
          <t>BENGKULU</t>
        </is>
      </c>
      <c r="F62" s="8" t="inlineStr">
        <is>
          <t>KAB/KOTA CONTOH 3</t>
        </is>
      </c>
      <c r="G62" s="8" t="inlineStr">
        <is>
          <t>KEC CONTOH 3</t>
        </is>
      </c>
      <c r="H62" s="8" t="inlineStr">
        <is>
          <t>KELURAHAN CONTOH 07-002</t>
        </is>
      </c>
      <c r="I62" s="6" t="n">
        <v>1</v>
      </c>
      <c r="J62" s="9" t="n">
        <v>165539</v>
      </c>
    </row>
    <row r="63">
      <c r="A63" s="8" t="n">
        <v>17</v>
      </c>
      <c r="B63" s="8" t="n">
        <v>4</v>
      </c>
      <c r="C63" s="8" t="n">
        <v>4</v>
      </c>
      <c r="D63" s="8" t="n">
        <v>3</v>
      </c>
      <c r="E63" s="8" t="inlineStr">
        <is>
          <t>BENGKULU</t>
        </is>
      </c>
      <c r="F63" s="8" t="inlineStr">
        <is>
          <t>KAB/KOTA CONTOH 4</t>
        </is>
      </c>
      <c r="G63" s="8" t="inlineStr">
        <is>
          <t>KEC CONTOH 4</t>
        </is>
      </c>
      <c r="H63" s="8" t="inlineStr">
        <is>
          <t>KELURAHAN CONTOH 07-003</t>
        </is>
      </c>
      <c r="I63" s="6" t="n">
        <v>1</v>
      </c>
      <c r="J63" s="9" t="n">
        <v>203294</v>
      </c>
    </row>
    <row r="64">
      <c r="A64" s="8" t="n">
        <v>17</v>
      </c>
      <c r="B64" s="8" t="n">
        <v>5</v>
      </c>
      <c r="C64" s="8" t="n">
        <v>5</v>
      </c>
      <c r="D64" s="8" t="n">
        <v>4</v>
      </c>
      <c r="E64" s="8" t="inlineStr">
        <is>
          <t>BENGKULU</t>
        </is>
      </c>
      <c r="F64" s="8" t="inlineStr">
        <is>
          <t>KAB/KOTA CONTOH 5</t>
        </is>
      </c>
      <c r="G64" s="8" t="inlineStr">
        <is>
          <t>KEC CONTOH 5</t>
        </is>
      </c>
      <c r="H64" s="8" t="inlineStr">
        <is>
          <t>KELURAHAN CONTOH 07-004</t>
        </is>
      </c>
      <c r="I64" s="6" t="n">
        <v>1</v>
      </c>
      <c r="J64" s="9" t="n">
        <v>121976</v>
      </c>
    </row>
    <row r="65">
      <c r="A65" s="8" t="n">
        <v>17</v>
      </c>
      <c r="B65" s="8" t="n">
        <v>6</v>
      </c>
      <c r="C65" s="8" t="n">
        <v>6</v>
      </c>
      <c r="D65" s="8" t="n">
        <v>5</v>
      </c>
      <c r="E65" s="8" t="inlineStr">
        <is>
          <t>BENGKULU</t>
        </is>
      </c>
      <c r="F65" s="8" t="inlineStr">
        <is>
          <t>KAB/KOTA CONTOH 6</t>
        </is>
      </c>
      <c r="G65" s="8" t="inlineStr">
        <is>
          <t>KEC CONTOH 6</t>
        </is>
      </c>
      <c r="H65" s="8" t="inlineStr">
        <is>
          <t>DESA CONTOH 07-005</t>
        </is>
      </c>
      <c r="I65" s="6" t="n">
        <v>2</v>
      </c>
      <c r="J65" s="9" t="n">
        <v>159731</v>
      </c>
    </row>
    <row r="66">
      <c r="A66" s="8" t="n">
        <v>17</v>
      </c>
      <c r="B66" s="8" t="n">
        <v>7</v>
      </c>
      <c r="C66" s="8" t="n">
        <v>7</v>
      </c>
      <c r="D66" s="8" t="n">
        <v>6</v>
      </c>
      <c r="E66" s="8" t="inlineStr">
        <is>
          <t>BENGKULU</t>
        </is>
      </c>
      <c r="F66" s="8" t="inlineStr">
        <is>
          <t>KAB/KOTA CONTOH 7</t>
        </is>
      </c>
      <c r="G66" s="8" t="inlineStr">
        <is>
          <t>KEC CONTOH 7</t>
        </is>
      </c>
      <c r="H66" s="8" t="inlineStr">
        <is>
          <t>DESA CONTOH 07-006</t>
        </is>
      </c>
      <c r="I66" s="6" t="n">
        <v>2</v>
      </c>
      <c r="J66" s="9" t="n">
        <v>197485</v>
      </c>
    </row>
    <row r="67">
      <c r="A67" s="8" t="n">
        <v>17</v>
      </c>
      <c r="B67" s="8" t="n">
        <v>8</v>
      </c>
      <c r="C67" s="8" t="n">
        <v>8</v>
      </c>
      <c r="D67" s="8" t="n">
        <v>7</v>
      </c>
      <c r="E67" s="8" t="inlineStr">
        <is>
          <t>BENGKULU</t>
        </is>
      </c>
      <c r="F67" s="8" t="inlineStr">
        <is>
          <t>KAB/KOTA CONTOH 8</t>
        </is>
      </c>
      <c r="G67" s="8" t="inlineStr">
        <is>
          <t>KEC CONTOH 8</t>
        </is>
      </c>
      <c r="H67" s="8" t="inlineStr">
        <is>
          <t>DESA CONTOH 07-007</t>
        </is>
      </c>
      <c r="I67" s="6" t="n">
        <v>2</v>
      </c>
      <c r="J67" s="9" t="n">
        <v>116168</v>
      </c>
    </row>
    <row r="68">
      <c r="A68" s="8" t="n">
        <v>17</v>
      </c>
      <c r="B68" s="8" t="n">
        <v>9</v>
      </c>
      <c r="C68" s="8" t="n">
        <v>9</v>
      </c>
      <c r="D68" s="8" t="n">
        <v>8</v>
      </c>
      <c r="E68" s="8" t="inlineStr">
        <is>
          <t>BENGKULU</t>
        </is>
      </c>
      <c r="F68" s="8" t="inlineStr">
        <is>
          <t>KAB/KOTA CONTOH 9</t>
        </is>
      </c>
      <c r="G68" s="8" t="inlineStr">
        <is>
          <t>KEC CONTOH 9</t>
        </is>
      </c>
      <c r="H68" s="8" t="inlineStr">
        <is>
          <t>DESA CONTOH 07-008</t>
        </is>
      </c>
      <c r="I68" s="6" t="n">
        <v>2</v>
      </c>
      <c r="J68" s="9" t="n">
        <v>153922</v>
      </c>
    </row>
    <row r="69">
      <c r="A69" s="8" t="n">
        <v>17</v>
      </c>
      <c r="B69" s="8" t="n">
        <v>1</v>
      </c>
      <c r="C69" s="8" t="n">
        <v>10</v>
      </c>
      <c r="D69" s="8" t="n">
        <v>9</v>
      </c>
      <c r="E69" s="8" t="inlineStr">
        <is>
          <t>BENGKULU</t>
        </is>
      </c>
      <c r="F69" s="8" t="inlineStr">
        <is>
          <t>KAB/KOTA CONTOH 1</t>
        </is>
      </c>
      <c r="G69" s="8" t="inlineStr">
        <is>
          <t>KEC CONTOH 10</t>
        </is>
      </c>
      <c r="H69" s="8" t="inlineStr">
        <is>
          <t>DESA CONTOH 07-009</t>
        </is>
      </c>
      <c r="I69" s="6" t="n">
        <v>2</v>
      </c>
      <c r="J69" s="9" t="n">
        <v>191677</v>
      </c>
    </row>
    <row r="70">
      <c r="A70" s="8" t="n">
        <v>17</v>
      </c>
      <c r="B70" s="8" t="n">
        <v>2</v>
      </c>
      <c r="C70" s="8" t="n">
        <v>11</v>
      </c>
      <c r="D70" s="8" t="n">
        <v>10</v>
      </c>
      <c r="E70" s="8" t="inlineStr">
        <is>
          <t>BENGKULU</t>
        </is>
      </c>
      <c r="F70" s="8" t="inlineStr">
        <is>
          <t>KAB/KOTA CONTOH 2</t>
        </is>
      </c>
      <c r="G70" s="8" t="inlineStr">
        <is>
          <t>KEC CONTOH 11</t>
        </is>
      </c>
      <c r="H70" s="8" t="inlineStr">
        <is>
          <t>DESA CONTOH 07-010</t>
        </is>
      </c>
      <c r="I70" s="6" t="n">
        <v>2</v>
      </c>
      <c r="J70" s="9" t="n">
        <v>110359</v>
      </c>
    </row>
    <row r="71">
      <c r="A71" s="8" t="n">
        <v>17</v>
      </c>
      <c r="B71" s="8" t="n">
        <v>3</v>
      </c>
      <c r="C71" s="8" t="n">
        <v>12</v>
      </c>
      <c r="D71" s="8" t="n">
        <v>11</v>
      </c>
      <c r="E71" s="8" t="inlineStr">
        <is>
          <t>BENGKULU</t>
        </is>
      </c>
      <c r="F71" s="8" t="inlineStr">
        <is>
          <t>KAB/KOTA CONTOH 3</t>
        </is>
      </c>
      <c r="G71" s="8" t="inlineStr">
        <is>
          <t>KEC CONTOH 12</t>
        </is>
      </c>
      <c r="H71" s="8" t="inlineStr">
        <is>
          <t>DESA CONTOH 07-011</t>
        </is>
      </c>
      <c r="I71" s="6" t="n">
        <v>2</v>
      </c>
      <c r="J71" s="9" t="n">
        <v>148114</v>
      </c>
    </row>
    <row r="72">
      <c r="A72" s="8" t="n">
        <v>17</v>
      </c>
      <c r="B72" s="8" t="n">
        <v>4</v>
      </c>
      <c r="C72" s="8" t="n">
        <v>13</v>
      </c>
      <c r="D72" s="8" t="n">
        <v>12</v>
      </c>
      <c r="E72" s="8" t="inlineStr">
        <is>
          <t>BENGKULU</t>
        </is>
      </c>
      <c r="F72" s="8" t="inlineStr">
        <is>
          <t>KAB/KOTA CONTOH 4</t>
        </is>
      </c>
      <c r="G72" s="8" t="inlineStr">
        <is>
          <t>KEC CONTOH 13</t>
        </is>
      </c>
      <c r="H72" s="8" t="inlineStr">
        <is>
          <t>DESA CONTOH 07-012</t>
        </is>
      </c>
      <c r="I72" s="6" t="n">
        <v>2</v>
      </c>
      <c r="J72" s="9" t="n">
        <v>185868</v>
      </c>
    </row>
    <row r="73">
      <c r="A73" s="8" t="n">
        <v>17</v>
      </c>
      <c r="B73" s="8" t="n">
        <v>5</v>
      </c>
      <c r="C73" s="8" t="n">
        <v>14</v>
      </c>
      <c r="D73" s="8" t="n">
        <v>13</v>
      </c>
      <c r="E73" s="8" t="inlineStr">
        <is>
          <t>BENGKULU</t>
        </is>
      </c>
      <c r="F73" s="8" t="inlineStr">
        <is>
          <t>KAB/KOTA CONTOH 5</t>
        </is>
      </c>
      <c r="G73" s="8" t="inlineStr">
        <is>
          <t>KEC CONTOH 14</t>
        </is>
      </c>
      <c r="H73" s="8" t="inlineStr">
        <is>
          <t>DESA CONTOH 07-013</t>
        </is>
      </c>
      <c r="I73" s="6" t="n">
        <v>2</v>
      </c>
      <c r="J73" s="9" t="n">
        <v>104551</v>
      </c>
    </row>
    <row r="74">
      <c r="A74" s="8" t="n">
        <v>17</v>
      </c>
      <c r="B74" s="8" t="n">
        <v>6</v>
      </c>
      <c r="C74" s="8" t="n">
        <v>15</v>
      </c>
      <c r="D74" s="8" t="n">
        <v>14</v>
      </c>
      <c r="E74" s="8" t="inlineStr">
        <is>
          <t>BENGKULU</t>
        </is>
      </c>
      <c r="F74" s="8" t="inlineStr">
        <is>
          <t>KAB/KOTA CONTOH 6</t>
        </is>
      </c>
      <c r="G74" s="8" t="inlineStr">
        <is>
          <t>KEC CONTOH 15</t>
        </is>
      </c>
      <c r="H74" s="8" t="inlineStr">
        <is>
          <t>DESA CONTOH 07-014</t>
        </is>
      </c>
      <c r="I74" s="6" t="n">
        <v>2</v>
      </c>
      <c r="J74" s="9" t="n">
        <v>142305</v>
      </c>
    </row>
    <row r="75">
      <c r="A75" s="8" t="n">
        <v>18</v>
      </c>
      <c r="B75" s="8" t="n">
        <v>2</v>
      </c>
      <c r="C75" s="8" t="n">
        <v>2</v>
      </c>
      <c r="D75" s="8" t="n">
        <v>1</v>
      </c>
      <c r="E75" s="8" t="inlineStr">
        <is>
          <t>LAMPUNG</t>
        </is>
      </c>
      <c r="F75" s="8" t="inlineStr">
        <is>
          <t>KAB/KOTA CONTOH 2</t>
        </is>
      </c>
      <c r="G75" s="8" t="inlineStr">
        <is>
          <t>KEC CONTOH 2</t>
        </is>
      </c>
      <c r="H75" s="8" t="inlineStr">
        <is>
          <t>KELURAHAN CONTOH 08-001</t>
        </is>
      </c>
      <c r="I75" s="6" t="n">
        <v>1</v>
      </c>
      <c r="J75" s="9" t="n">
        <v>1029269</v>
      </c>
    </row>
    <row r="76">
      <c r="A76" s="8" t="n">
        <v>18</v>
      </c>
      <c r="B76" s="8" t="n">
        <v>3</v>
      </c>
      <c r="C76" s="8" t="n">
        <v>3</v>
      </c>
      <c r="D76" s="8" t="n">
        <v>2</v>
      </c>
      <c r="E76" s="8" t="inlineStr">
        <is>
          <t>LAMPUNG</t>
        </is>
      </c>
      <c r="F76" s="8" t="inlineStr">
        <is>
          <t>KAB/KOTA CONTOH 3</t>
        </is>
      </c>
      <c r="G76" s="8" t="inlineStr">
        <is>
          <t>KEC CONTOH 3</t>
        </is>
      </c>
      <c r="H76" s="8" t="inlineStr">
        <is>
          <t>KELURAHAN CONTOH 08-002</t>
        </is>
      </c>
      <c r="I76" s="6" t="n">
        <v>1</v>
      </c>
      <c r="J76" s="9" t="n">
        <v>1291632</v>
      </c>
    </row>
    <row r="77">
      <c r="A77" s="8" t="n">
        <v>18</v>
      </c>
      <c r="B77" s="8" t="n">
        <v>4</v>
      </c>
      <c r="C77" s="8" t="n">
        <v>4</v>
      </c>
      <c r="D77" s="8" t="n">
        <v>3</v>
      </c>
      <c r="E77" s="8" t="inlineStr">
        <is>
          <t>LAMPUNG</t>
        </is>
      </c>
      <c r="F77" s="8" t="inlineStr">
        <is>
          <t>KAB/KOTA CONTOH 4</t>
        </is>
      </c>
      <c r="G77" s="8" t="inlineStr">
        <is>
          <t>KEC CONTOH 4</t>
        </is>
      </c>
      <c r="H77" s="8" t="inlineStr">
        <is>
          <t>KELURAHAN CONTOH 08-003</t>
        </is>
      </c>
      <c r="I77" s="6" t="n">
        <v>1</v>
      </c>
      <c r="J77" s="9" t="n">
        <v>726543</v>
      </c>
    </row>
    <row r="78">
      <c r="A78" s="8" t="n">
        <v>18</v>
      </c>
      <c r="B78" s="8" t="n">
        <v>5</v>
      </c>
      <c r="C78" s="8" t="n">
        <v>5</v>
      </c>
      <c r="D78" s="8" t="n">
        <v>4</v>
      </c>
      <c r="E78" s="8" t="inlineStr">
        <is>
          <t>LAMPUNG</t>
        </is>
      </c>
      <c r="F78" s="8" t="inlineStr">
        <is>
          <t>KAB/KOTA CONTOH 5</t>
        </is>
      </c>
      <c r="G78" s="8" t="inlineStr">
        <is>
          <t>KEC CONTOH 5</t>
        </is>
      </c>
      <c r="H78" s="8" t="inlineStr">
        <is>
          <t>KELURAHAN CONTOH 08-004</t>
        </is>
      </c>
      <c r="I78" s="6" t="n">
        <v>1</v>
      </c>
      <c r="J78" s="9" t="n">
        <v>988906</v>
      </c>
    </row>
    <row r="79">
      <c r="A79" s="8" t="n">
        <v>18</v>
      </c>
      <c r="B79" s="8" t="n">
        <v>6</v>
      </c>
      <c r="C79" s="8" t="n">
        <v>6</v>
      </c>
      <c r="D79" s="8" t="n">
        <v>5</v>
      </c>
      <c r="E79" s="8" t="inlineStr">
        <is>
          <t>LAMPUNG</t>
        </is>
      </c>
      <c r="F79" s="8" t="inlineStr">
        <is>
          <t>KAB/KOTA CONTOH 6</t>
        </is>
      </c>
      <c r="G79" s="8" t="inlineStr">
        <is>
          <t>KEC CONTOH 6</t>
        </is>
      </c>
      <c r="H79" s="8" t="inlineStr">
        <is>
          <t>KELURAHAN CONTOH 08-005</t>
        </is>
      </c>
      <c r="I79" s="6" t="n">
        <v>1</v>
      </c>
      <c r="J79" s="9" t="n">
        <v>1251269</v>
      </c>
    </row>
    <row r="80">
      <c r="A80" s="8" t="n">
        <v>18</v>
      </c>
      <c r="B80" s="8" t="n">
        <v>7</v>
      </c>
      <c r="C80" s="8" t="n">
        <v>7</v>
      </c>
      <c r="D80" s="8" t="n">
        <v>6</v>
      </c>
      <c r="E80" s="8" t="inlineStr">
        <is>
          <t>LAMPUNG</t>
        </is>
      </c>
      <c r="F80" s="8" t="inlineStr">
        <is>
          <t>KAB/KOTA CONTOH 7</t>
        </is>
      </c>
      <c r="G80" s="8" t="inlineStr">
        <is>
          <t>KEC CONTOH 7</t>
        </is>
      </c>
      <c r="H80" s="8" t="inlineStr">
        <is>
          <t>DESA CONTOH 08-006</t>
        </is>
      </c>
      <c r="I80" s="6" t="n">
        <v>2</v>
      </c>
      <c r="J80" s="9" t="n">
        <v>686179</v>
      </c>
    </row>
    <row r="81">
      <c r="A81" s="8" t="n">
        <v>18</v>
      </c>
      <c r="B81" s="8" t="n">
        <v>8</v>
      </c>
      <c r="C81" s="8" t="n">
        <v>8</v>
      </c>
      <c r="D81" s="8" t="n">
        <v>7</v>
      </c>
      <c r="E81" s="8" t="inlineStr">
        <is>
          <t>LAMPUNG</t>
        </is>
      </c>
      <c r="F81" s="8" t="inlineStr">
        <is>
          <t>KAB/KOTA CONTOH 8</t>
        </is>
      </c>
      <c r="G81" s="8" t="inlineStr">
        <is>
          <t>KEC CONTOH 8</t>
        </is>
      </c>
      <c r="H81" s="8" t="inlineStr">
        <is>
          <t>DESA CONTOH 08-007</t>
        </is>
      </c>
      <c r="I81" s="6" t="n">
        <v>2</v>
      </c>
      <c r="J81" s="9" t="n">
        <v>948542</v>
      </c>
    </row>
    <row r="82">
      <c r="A82" s="8" t="n">
        <v>18</v>
      </c>
      <c r="B82" s="8" t="n">
        <v>9</v>
      </c>
      <c r="C82" s="8" t="n">
        <v>9</v>
      </c>
      <c r="D82" s="8" t="n">
        <v>8</v>
      </c>
      <c r="E82" s="8" t="inlineStr">
        <is>
          <t>LAMPUNG</t>
        </is>
      </c>
      <c r="F82" s="8" t="inlineStr">
        <is>
          <t>KAB/KOTA CONTOH 9</t>
        </is>
      </c>
      <c r="G82" s="8" t="inlineStr">
        <is>
          <t>KEC CONTOH 9</t>
        </is>
      </c>
      <c r="H82" s="8" t="inlineStr">
        <is>
          <t>DESA CONTOH 08-008</t>
        </is>
      </c>
      <c r="I82" s="6" t="n">
        <v>2</v>
      </c>
      <c r="J82" s="9" t="n">
        <v>1210905</v>
      </c>
    </row>
    <row r="83">
      <c r="A83" s="8" t="n">
        <v>18</v>
      </c>
      <c r="B83" s="8" t="n">
        <v>1</v>
      </c>
      <c r="C83" s="8" t="n">
        <v>10</v>
      </c>
      <c r="D83" s="8" t="n">
        <v>9</v>
      </c>
      <c r="E83" s="8" t="inlineStr">
        <is>
          <t>LAMPUNG</t>
        </is>
      </c>
      <c r="F83" s="8" t="inlineStr">
        <is>
          <t>KAB/KOTA CONTOH 1</t>
        </is>
      </c>
      <c r="G83" s="8" t="inlineStr">
        <is>
          <t>KEC CONTOH 10</t>
        </is>
      </c>
      <c r="H83" s="8" t="inlineStr">
        <is>
          <t>DESA CONTOH 08-009</t>
        </is>
      </c>
      <c r="I83" s="6" t="n">
        <v>2</v>
      </c>
      <c r="J83" s="9" t="n">
        <v>645816</v>
      </c>
    </row>
    <row r="84">
      <c r="A84" s="8" t="n">
        <v>19</v>
      </c>
      <c r="B84" s="8" t="n">
        <v>2</v>
      </c>
      <c r="C84" s="8" t="n">
        <v>2</v>
      </c>
      <c r="D84" s="8" t="n">
        <v>1</v>
      </c>
      <c r="E84" s="8" t="inlineStr">
        <is>
          <t>BANGKA BELITUNG</t>
        </is>
      </c>
      <c r="F84" s="8" t="inlineStr">
        <is>
          <t>KAB/KOTA CONTOH 2</t>
        </is>
      </c>
      <c r="G84" s="8" t="inlineStr">
        <is>
          <t>KEC CONTOH 2</t>
        </is>
      </c>
      <c r="H84" s="8" t="inlineStr">
        <is>
          <t>KELURAHAN CONTOH 09-001</t>
        </is>
      </c>
      <c r="I84" s="6" t="n">
        <v>1</v>
      </c>
      <c r="J84" s="9" t="n">
        <v>244112</v>
      </c>
    </row>
    <row r="85">
      <c r="A85" s="8" t="n">
        <v>19</v>
      </c>
      <c r="B85" s="8" t="n">
        <v>3</v>
      </c>
      <c r="C85" s="8" t="n">
        <v>3</v>
      </c>
      <c r="D85" s="8" t="n">
        <v>2</v>
      </c>
      <c r="E85" s="8" t="inlineStr">
        <is>
          <t>BANGKA BELITUNG</t>
        </is>
      </c>
      <c r="F85" s="8" t="inlineStr">
        <is>
          <t>KAB/KOTA CONTOH 3</t>
        </is>
      </c>
      <c r="G85" s="8" t="inlineStr">
        <is>
          <t>KEC CONTOH 3</t>
        </is>
      </c>
      <c r="H85" s="8" t="inlineStr">
        <is>
          <t>KELURAHAN CONTOH 09-002</t>
        </is>
      </c>
      <c r="I85" s="6" t="n">
        <v>1</v>
      </c>
      <c r="J85" s="9" t="n">
        <v>126265</v>
      </c>
    </row>
    <row r="86">
      <c r="A86" s="8" t="n">
        <v>19</v>
      </c>
      <c r="B86" s="8" t="n">
        <v>4</v>
      </c>
      <c r="C86" s="8" t="n">
        <v>4</v>
      </c>
      <c r="D86" s="8" t="n">
        <v>3</v>
      </c>
      <c r="E86" s="8" t="inlineStr">
        <is>
          <t>BANGKA BELITUNG</t>
        </is>
      </c>
      <c r="F86" s="8" t="inlineStr">
        <is>
          <t>KAB/KOTA CONTOH 4</t>
        </is>
      </c>
      <c r="G86" s="8" t="inlineStr">
        <is>
          <t>KEC CONTOH 4</t>
        </is>
      </c>
      <c r="H86" s="8" t="inlineStr">
        <is>
          <t>DESA CONTOH 09-003</t>
        </is>
      </c>
      <c r="I86" s="6" t="n">
        <v>2</v>
      </c>
      <c r="J86" s="9" t="n">
        <v>180980</v>
      </c>
    </row>
    <row r="87">
      <c r="A87" s="8" t="n">
        <v>19</v>
      </c>
      <c r="B87" s="8" t="n">
        <v>5</v>
      </c>
      <c r="C87" s="8" t="n">
        <v>5</v>
      </c>
      <c r="D87" s="8" t="n">
        <v>4</v>
      </c>
      <c r="E87" s="8" t="inlineStr">
        <is>
          <t>BANGKA BELITUNG</t>
        </is>
      </c>
      <c r="F87" s="8" t="inlineStr">
        <is>
          <t>KAB/KOTA CONTOH 5</t>
        </is>
      </c>
      <c r="G87" s="8" t="inlineStr">
        <is>
          <t>KEC CONTOH 5</t>
        </is>
      </c>
      <c r="H87" s="8" t="inlineStr">
        <is>
          <t>DESA CONTOH 09-004</t>
        </is>
      </c>
      <c r="I87" s="6" t="n">
        <v>2</v>
      </c>
      <c r="J87" s="9" t="n">
        <v>235695</v>
      </c>
    </row>
    <row r="88">
      <c r="A88" s="8" t="n">
        <v>19</v>
      </c>
      <c r="B88" s="8" t="n">
        <v>6</v>
      </c>
      <c r="C88" s="8" t="n">
        <v>6</v>
      </c>
      <c r="D88" s="8" t="n">
        <v>5</v>
      </c>
      <c r="E88" s="8" t="inlineStr">
        <is>
          <t>BANGKA BELITUNG</t>
        </is>
      </c>
      <c r="F88" s="8" t="inlineStr">
        <is>
          <t>KAB/KOTA CONTOH 6</t>
        </is>
      </c>
      <c r="G88" s="8" t="inlineStr">
        <is>
          <t>KEC CONTOH 6</t>
        </is>
      </c>
      <c r="H88" s="8" t="inlineStr">
        <is>
          <t>DESA CONTOH 09-005</t>
        </is>
      </c>
      <c r="I88" s="6" t="n">
        <v>2</v>
      </c>
      <c r="J88" s="9" t="n">
        <v>290409</v>
      </c>
    </row>
    <row r="89">
      <c r="A89" s="8" t="n">
        <v>19</v>
      </c>
      <c r="B89" s="8" t="n">
        <v>7</v>
      </c>
      <c r="C89" s="8" t="n">
        <v>7</v>
      </c>
      <c r="D89" s="8" t="n">
        <v>6</v>
      </c>
      <c r="E89" s="8" t="inlineStr">
        <is>
          <t>BANGKA BELITUNG</t>
        </is>
      </c>
      <c r="F89" s="8" t="inlineStr">
        <is>
          <t>KAB/KOTA CONTOH 7</t>
        </is>
      </c>
      <c r="G89" s="8" t="inlineStr">
        <is>
          <t>KEC CONTOH 7</t>
        </is>
      </c>
      <c r="H89" s="8" t="inlineStr">
        <is>
          <t>DESA CONTOH 09-006</t>
        </is>
      </c>
      <c r="I89" s="6" t="n">
        <v>2</v>
      </c>
      <c r="J89" s="9" t="n">
        <v>172562</v>
      </c>
    </row>
    <row r="90">
      <c r="A90" s="8" t="n">
        <v>19</v>
      </c>
      <c r="B90" s="8" t="n">
        <v>8</v>
      </c>
      <c r="C90" s="8" t="n">
        <v>8</v>
      </c>
      <c r="D90" s="8" t="n">
        <v>7</v>
      </c>
      <c r="E90" s="8" t="inlineStr">
        <is>
          <t>BANGKA BELITUNG</t>
        </is>
      </c>
      <c r="F90" s="8" t="inlineStr">
        <is>
          <t>KAB/KOTA CONTOH 8</t>
        </is>
      </c>
      <c r="G90" s="8" t="inlineStr">
        <is>
          <t>KEC CONTOH 8</t>
        </is>
      </c>
      <c r="H90" s="8" t="inlineStr">
        <is>
          <t>DESA CONTOH 09-007</t>
        </is>
      </c>
      <c r="I90" s="6" t="n">
        <v>2</v>
      </c>
      <c r="J90" s="9" t="n">
        <v>227277</v>
      </c>
    </row>
    <row r="91">
      <c r="A91" s="8" t="n">
        <v>20</v>
      </c>
      <c r="B91" s="8" t="n">
        <v>2</v>
      </c>
      <c r="C91" s="8" t="n">
        <v>2</v>
      </c>
      <c r="D91" s="8" t="n">
        <v>1</v>
      </c>
      <c r="E91" s="8" t="inlineStr">
        <is>
          <t>KEPULAUAN RIAU</t>
        </is>
      </c>
      <c r="F91" s="8" t="inlineStr">
        <is>
          <t>KAB/KOTA CONTOH 2</t>
        </is>
      </c>
      <c r="G91" s="8" t="inlineStr">
        <is>
          <t>KEC CONTOH 2</t>
        </is>
      </c>
      <c r="H91" s="8" t="inlineStr">
        <is>
          <t>KELURAHAN CONTOH 10-001</t>
        </is>
      </c>
      <c r="I91" s="6" t="n">
        <v>1</v>
      </c>
      <c r="J91" s="9" t="n">
        <v>305966</v>
      </c>
    </row>
    <row r="92">
      <c r="A92" s="8" t="n">
        <v>20</v>
      </c>
      <c r="B92" s="8" t="n">
        <v>3</v>
      </c>
      <c r="C92" s="8" t="n">
        <v>3</v>
      </c>
      <c r="D92" s="8" t="n">
        <v>2</v>
      </c>
      <c r="E92" s="8" t="inlineStr">
        <is>
          <t>KEPULAUAN RIAU</t>
        </is>
      </c>
      <c r="F92" s="8" t="inlineStr">
        <is>
          <t>KAB/KOTA CONTOH 3</t>
        </is>
      </c>
      <c r="G92" s="8" t="inlineStr">
        <is>
          <t>KEC CONTOH 3</t>
        </is>
      </c>
      <c r="H92" s="8" t="inlineStr">
        <is>
          <t>KELURAHAN CONTOH 10-002</t>
        </is>
      </c>
      <c r="I92" s="6" t="n">
        <v>1</v>
      </c>
      <c r="J92" s="9" t="n">
        <v>174165</v>
      </c>
    </row>
    <row r="93">
      <c r="A93" s="8" t="n">
        <v>20</v>
      </c>
      <c r="B93" s="8" t="n">
        <v>4</v>
      </c>
      <c r="C93" s="8" t="n">
        <v>4</v>
      </c>
      <c r="D93" s="8" t="n">
        <v>3</v>
      </c>
      <c r="E93" s="8" t="inlineStr">
        <is>
          <t>KEPULAUAN RIAU</t>
        </is>
      </c>
      <c r="F93" s="8" t="inlineStr">
        <is>
          <t>KAB/KOTA CONTOH 4</t>
        </is>
      </c>
      <c r="G93" s="8" t="inlineStr">
        <is>
          <t>KEC CONTOH 4</t>
        </is>
      </c>
      <c r="H93" s="8" t="inlineStr">
        <is>
          <t>KELURAHAN CONTOH 10-003</t>
        </is>
      </c>
      <c r="I93" s="6" t="n">
        <v>1</v>
      </c>
      <c r="J93" s="9" t="n">
        <v>235359</v>
      </c>
    </row>
    <row r="94">
      <c r="A94" s="8" t="n">
        <v>20</v>
      </c>
      <c r="B94" s="8" t="n">
        <v>5</v>
      </c>
      <c r="C94" s="8" t="n">
        <v>5</v>
      </c>
      <c r="D94" s="8" t="n">
        <v>4</v>
      </c>
      <c r="E94" s="8" t="inlineStr">
        <is>
          <t>KEPULAUAN RIAU</t>
        </is>
      </c>
      <c r="F94" s="8" t="inlineStr">
        <is>
          <t>KAB/KOTA CONTOH 5</t>
        </is>
      </c>
      <c r="G94" s="8" t="inlineStr">
        <is>
          <t>KEC CONTOH 5</t>
        </is>
      </c>
      <c r="H94" s="8" t="inlineStr">
        <is>
          <t>DESA CONTOH 10-004</t>
        </is>
      </c>
      <c r="I94" s="6" t="n">
        <v>2</v>
      </c>
      <c r="J94" s="9" t="n">
        <v>296552</v>
      </c>
    </row>
    <row r="95">
      <c r="A95" s="8" t="n">
        <v>20</v>
      </c>
      <c r="B95" s="8" t="n">
        <v>6</v>
      </c>
      <c r="C95" s="8" t="n">
        <v>6</v>
      </c>
      <c r="D95" s="8" t="n">
        <v>5</v>
      </c>
      <c r="E95" s="8" t="inlineStr">
        <is>
          <t>KEPULAUAN RIAU</t>
        </is>
      </c>
      <c r="F95" s="8" t="inlineStr">
        <is>
          <t>KAB/KOTA CONTOH 6</t>
        </is>
      </c>
      <c r="G95" s="8" t="inlineStr">
        <is>
          <t>KEC CONTOH 6</t>
        </is>
      </c>
      <c r="H95" s="8" t="inlineStr">
        <is>
          <t>DESA CONTOH 10-005</t>
        </is>
      </c>
      <c r="I95" s="6" t="n">
        <v>2</v>
      </c>
      <c r="J95" s="9" t="n">
        <v>164751</v>
      </c>
    </row>
    <row r="96">
      <c r="A96" s="8" t="n">
        <v>20</v>
      </c>
      <c r="B96" s="8" t="n">
        <v>7</v>
      </c>
      <c r="C96" s="8" t="n">
        <v>7</v>
      </c>
      <c r="D96" s="8" t="n">
        <v>6</v>
      </c>
      <c r="E96" s="8" t="inlineStr">
        <is>
          <t>KEPULAUAN RIAU</t>
        </is>
      </c>
      <c r="F96" s="8" t="inlineStr">
        <is>
          <t>KAB/KOTA CONTOH 7</t>
        </is>
      </c>
      <c r="G96" s="8" t="inlineStr">
        <is>
          <t>KEC CONTOH 7</t>
        </is>
      </c>
      <c r="H96" s="8" t="inlineStr">
        <is>
          <t>DESA CONTOH 10-006</t>
        </is>
      </c>
      <c r="I96" s="6" t="n">
        <v>2</v>
      </c>
      <c r="J96" s="9" t="n">
        <v>225944</v>
      </c>
    </row>
    <row r="97">
      <c r="A97" s="8" t="n">
        <v>20</v>
      </c>
      <c r="B97" s="8" t="n">
        <v>8</v>
      </c>
      <c r="C97" s="8" t="n">
        <v>8</v>
      </c>
      <c r="D97" s="8" t="n">
        <v>7</v>
      </c>
      <c r="E97" s="8" t="inlineStr">
        <is>
          <t>KEPULAUAN RIAU</t>
        </is>
      </c>
      <c r="F97" s="8" t="inlineStr">
        <is>
          <t>KAB/KOTA CONTOH 8</t>
        </is>
      </c>
      <c r="G97" s="8" t="inlineStr">
        <is>
          <t>KEC CONTOH 8</t>
        </is>
      </c>
      <c r="H97" s="8" t="inlineStr">
        <is>
          <t>DESA CONTOH 10-007</t>
        </is>
      </c>
      <c r="I97" s="6" t="n">
        <v>2</v>
      </c>
      <c r="J97" s="9" t="n">
        <v>287137</v>
      </c>
    </row>
    <row r="98">
      <c r="A98" s="8" t="n">
        <v>20</v>
      </c>
      <c r="B98" s="8" t="n">
        <v>9</v>
      </c>
      <c r="C98" s="8" t="n">
        <v>9</v>
      </c>
      <c r="D98" s="8" t="n">
        <v>8</v>
      </c>
      <c r="E98" s="8" t="inlineStr">
        <is>
          <t>KEPULAUAN RIAU</t>
        </is>
      </c>
      <c r="F98" s="8" t="inlineStr">
        <is>
          <t>KAB/KOTA CONTOH 9</t>
        </is>
      </c>
      <c r="G98" s="8" t="inlineStr">
        <is>
          <t>KEC CONTOH 9</t>
        </is>
      </c>
      <c r="H98" s="8" t="inlineStr">
        <is>
          <t>DESA CONTOH 10-008</t>
        </is>
      </c>
      <c r="I98" s="6" t="n">
        <v>2</v>
      </c>
      <c r="J98" s="9" t="n">
        <v>155336</v>
      </c>
    </row>
    <row r="99">
      <c r="A99" s="8" t="n">
        <v>20</v>
      </c>
      <c r="B99" s="8" t="n">
        <v>1</v>
      </c>
      <c r="C99" s="8" t="n">
        <v>10</v>
      </c>
      <c r="D99" s="8" t="n">
        <v>9</v>
      </c>
      <c r="E99" s="8" t="inlineStr">
        <is>
          <t>KEPULAUAN RIAU</t>
        </is>
      </c>
      <c r="F99" s="8" t="inlineStr">
        <is>
          <t>KAB/KOTA CONTOH 1</t>
        </is>
      </c>
      <c r="G99" s="8" t="inlineStr">
        <is>
          <t>KEC CONTOH 10</t>
        </is>
      </c>
      <c r="H99" s="8" t="inlineStr">
        <is>
          <t>DESA CONTOH 10-009</t>
        </is>
      </c>
      <c r="I99" s="6" t="n">
        <v>2</v>
      </c>
      <c r="J99" s="9" t="n">
        <v>216530</v>
      </c>
    </row>
    <row r="100">
      <c r="A100" s="8" t="n">
        <v>21</v>
      </c>
      <c r="B100" s="8" t="n">
        <v>2</v>
      </c>
      <c r="C100" s="8" t="n">
        <v>2</v>
      </c>
      <c r="D100" s="8" t="n">
        <v>1</v>
      </c>
      <c r="E100" s="8" t="inlineStr">
        <is>
          <t>DKI JAKARTA</t>
        </is>
      </c>
      <c r="F100" s="8" t="inlineStr">
        <is>
          <t>KAB/KOTA CONTOH 2</t>
        </is>
      </c>
      <c r="G100" s="8" t="inlineStr">
        <is>
          <t>KEC CONTOH 2</t>
        </is>
      </c>
      <c r="H100" s="8" t="inlineStr">
        <is>
          <t>KELURAHAN CONTOH 11-001</t>
        </is>
      </c>
      <c r="I100" s="6" t="n">
        <v>1</v>
      </c>
      <c r="J100" s="9" t="n">
        <v>597999</v>
      </c>
    </row>
    <row r="101">
      <c r="A101" s="8" t="n">
        <v>21</v>
      </c>
      <c r="B101" s="8" t="n">
        <v>3</v>
      </c>
      <c r="C101" s="8" t="n">
        <v>3</v>
      </c>
      <c r="D101" s="8" t="n">
        <v>2</v>
      </c>
      <c r="E101" s="8" t="inlineStr">
        <is>
          <t>DKI JAKARTA</t>
        </is>
      </c>
      <c r="F101" s="8" t="inlineStr">
        <is>
          <t>KAB/KOTA CONTOH 3</t>
        </is>
      </c>
      <c r="G101" s="8" t="inlineStr">
        <is>
          <t>KEC CONTOH 3</t>
        </is>
      </c>
      <c r="H101" s="8" t="inlineStr">
        <is>
          <t>KELURAHAN CONTOH 11-002</t>
        </is>
      </c>
      <c r="I101" s="6" t="n">
        <v>1</v>
      </c>
      <c r="J101" s="9" t="n">
        <v>848774</v>
      </c>
    </row>
    <row r="102">
      <c r="A102" s="8" t="n">
        <v>21</v>
      </c>
      <c r="B102" s="8" t="n">
        <v>4</v>
      </c>
      <c r="C102" s="8" t="n">
        <v>4</v>
      </c>
      <c r="D102" s="8" t="n">
        <v>3</v>
      </c>
      <c r="E102" s="8" t="inlineStr">
        <is>
          <t>DKI JAKARTA</t>
        </is>
      </c>
      <c r="F102" s="8" t="inlineStr">
        <is>
          <t>KAB/KOTA CONTOH 4</t>
        </is>
      </c>
      <c r="G102" s="8" t="inlineStr">
        <is>
          <t>KEC CONTOH 4</t>
        </is>
      </c>
      <c r="H102" s="8" t="inlineStr">
        <is>
          <t>KELURAHAN CONTOH 11-003</t>
        </is>
      </c>
      <c r="I102" s="6" t="n">
        <v>1</v>
      </c>
      <c r="J102" s="9" t="n">
        <v>1099548</v>
      </c>
    </row>
    <row r="103">
      <c r="A103" s="8" t="n">
        <v>21</v>
      </c>
      <c r="B103" s="8" t="n">
        <v>5</v>
      </c>
      <c r="C103" s="8" t="n">
        <v>5</v>
      </c>
      <c r="D103" s="8" t="n">
        <v>4</v>
      </c>
      <c r="E103" s="8" t="inlineStr">
        <is>
          <t>DKI JAKARTA</t>
        </is>
      </c>
      <c r="F103" s="8" t="inlineStr">
        <is>
          <t>KAB/KOTA CONTOH 5</t>
        </is>
      </c>
      <c r="G103" s="8" t="inlineStr">
        <is>
          <t>KEC CONTOH 5</t>
        </is>
      </c>
      <c r="H103" s="8" t="inlineStr">
        <is>
          <t>KELURAHAN CONTOH 11-004</t>
        </is>
      </c>
      <c r="I103" s="6" t="n">
        <v>1</v>
      </c>
      <c r="J103" s="9" t="n">
        <v>1350322</v>
      </c>
    </row>
    <row r="104">
      <c r="A104" s="8" t="n">
        <v>21</v>
      </c>
      <c r="B104" s="8" t="n">
        <v>6</v>
      </c>
      <c r="C104" s="8" t="n">
        <v>6</v>
      </c>
      <c r="D104" s="8" t="n">
        <v>5</v>
      </c>
      <c r="E104" s="8" t="inlineStr">
        <is>
          <t>DKI JAKARTA</t>
        </is>
      </c>
      <c r="F104" s="8" t="inlineStr">
        <is>
          <t>KAB/KOTA CONTOH 6</t>
        </is>
      </c>
      <c r="G104" s="8" t="inlineStr">
        <is>
          <t>KEC CONTOH 6</t>
        </is>
      </c>
      <c r="H104" s="8" t="inlineStr">
        <is>
          <t>DESA CONTOH 11-005</t>
        </is>
      </c>
      <c r="I104" s="6" t="n">
        <v>2</v>
      </c>
      <c r="J104" s="9" t="n">
        <v>810193</v>
      </c>
    </row>
    <row r="105">
      <c r="A105" s="8" t="n">
        <v>21</v>
      </c>
      <c r="B105" s="8" t="n">
        <v>7</v>
      </c>
      <c r="C105" s="8" t="n">
        <v>7</v>
      </c>
      <c r="D105" s="8" t="n">
        <v>6</v>
      </c>
      <c r="E105" s="8" t="inlineStr">
        <is>
          <t>DKI JAKARTA</t>
        </is>
      </c>
      <c r="F105" s="8" t="inlineStr">
        <is>
          <t>KAB/KOTA CONTOH 7</t>
        </is>
      </c>
      <c r="G105" s="8" t="inlineStr">
        <is>
          <t>KEC CONTOH 7</t>
        </is>
      </c>
      <c r="H105" s="8" t="inlineStr">
        <is>
          <t>DESA CONTOH 11-006</t>
        </is>
      </c>
      <c r="I105" s="6" t="n">
        <v>2</v>
      </c>
      <c r="J105" s="9" t="n">
        <v>1060967</v>
      </c>
    </row>
    <row r="106">
      <c r="A106" s="8" t="n">
        <v>21</v>
      </c>
      <c r="B106" s="8" t="n">
        <v>8</v>
      </c>
      <c r="C106" s="8" t="n">
        <v>8</v>
      </c>
      <c r="D106" s="8" t="n">
        <v>7</v>
      </c>
      <c r="E106" s="8" t="inlineStr">
        <is>
          <t>DKI JAKARTA</t>
        </is>
      </c>
      <c r="F106" s="8" t="inlineStr">
        <is>
          <t>KAB/KOTA CONTOH 8</t>
        </is>
      </c>
      <c r="G106" s="8" t="inlineStr">
        <is>
          <t>KEC CONTOH 8</t>
        </is>
      </c>
      <c r="H106" s="8" t="inlineStr">
        <is>
          <t>DESA CONTOH 11-007</t>
        </is>
      </c>
      <c r="I106" s="6" t="n">
        <v>2</v>
      </c>
      <c r="J106" s="9" t="n">
        <v>1311741</v>
      </c>
    </row>
    <row r="107">
      <c r="A107" s="8" t="n">
        <v>21</v>
      </c>
      <c r="B107" s="8" t="n">
        <v>9</v>
      </c>
      <c r="C107" s="8" t="n">
        <v>9</v>
      </c>
      <c r="D107" s="8" t="n">
        <v>8</v>
      </c>
      <c r="E107" s="8" t="inlineStr">
        <is>
          <t>DKI JAKARTA</t>
        </is>
      </c>
      <c r="F107" s="8" t="inlineStr">
        <is>
          <t>KAB/KOTA CONTOH 9</t>
        </is>
      </c>
      <c r="G107" s="8" t="inlineStr">
        <is>
          <t>KEC CONTOH 9</t>
        </is>
      </c>
      <c r="H107" s="8" t="inlineStr">
        <is>
          <t>DESA CONTOH 11-008</t>
        </is>
      </c>
      <c r="I107" s="6" t="n">
        <v>2</v>
      </c>
      <c r="J107" s="9" t="n">
        <v>771612</v>
      </c>
    </row>
    <row r="108">
      <c r="A108" s="8" t="n">
        <v>21</v>
      </c>
      <c r="B108" s="8" t="n">
        <v>1</v>
      </c>
      <c r="C108" s="8" t="n">
        <v>10</v>
      </c>
      <c r="D108" s="8" t="n">
        <v>9</v>
      </c>
      <c r="E108" s="8" t="inlineStr">
        <is>
          <t>DKI JAKARTA</t>
        </is>
      </c>
      <c r="F108" s="8" t="inlineStr">
        <is>
          <t>KAB/KOTA CONTOH 1</t>
        </is>
      </c>
      <c r="G108" s="8" t="inlineStr">
        <is>
          <t>KEC CONTOH 10</t>
        </is>
      </c>
      <c r="H108" s="8" t="inlineStr">
        <is>
          <t>DESA CONTOH 11-009</t>
        </is>
      </c>
      <c r="I108" s="6" t="n">
        <v>2</v>
      </c>
      <c r="J108" s="9" t="n">
        <v>1022386</v>
      </c>
    </row>
    <row r="109">
      <c r="A109" s="8" t="n">
        <v>21</v>
      </c>
      <c r="B109" s="8" t="n">
        <v>2</v>
      </c>
      <c r="C109" s="8" t="n">
        <v>11</v>
      </c>
      <c r="D109" s="8" t="n">
        <v>10</v>
      </c>
      <c r="E109" s="8" t="inlineStr">
        <is>
          <t>DKI JAKARTA</t>
        </is>
      </c>
      <c r="F109" s="8" t="inlineStr">
        <is>
          <t>KAB/KOTA CONTOH 2</t>
        </is>
      </c>
      <c r="G109" s="8" t="inlineStr">
        <is>
          <t>KEC CONTOH 11</t>
        </is>
      </c>
      <c r="H109" s="8" t="inlineStr">
        <is>
          <t>DESA CONTOH 11-010</t>
        </is>
      </c>
      <c r="I109" s="6" t="n">
        <v>2</v>
      </c>
      <c r="J109" s="9" t="n">
        <v>1273161</v>
      </c>
    </row>
    <row r="110">
      <c r="A110" s="8" t="n">
        <v>21</v>
      </c>
      <c r="B110" s="8" t="n">
        <v>3</v>
      </c>
      <c r="C110" s="8" t="n">
        <v>12</v>
      </c>
      <c r="D110" s="8" t="n">
        <v>11</v>
      </c>
      <c r="E110" s="8" t="inlineStr">
        <is>
          <t>DKI JAKARTA</t>
        </is>
      </c>
      <c r="F110" s="8" t="inlineStr">
        <is>
          <t>KAB/KOTA CONTOH 3</t>
        </is>
      </c>
      <c r="G110" s="8" t="inlineStr">
        <is>
          <t>KEC CONTOH 12</t>
        </is>
      </c>
      <c r="H110" s="8" t="inlineStr">
        <is>
          <t>DESA CONTOH 11-011</t>
        </is>
      </c>
      <c r="I110" s="6" t="n">
        <v>2</v>
      </c>
      <c r="J110" s="9" t="n">
        <v>733032</v>
      </c>
    </row>
    <row r="111">
      <c r="A111" s="8" t="n">
        <v>22</v>
      </c>
      <c r="B111" s="8" t="n">
        <v>2</v>
      </c>
      <c r="C111" s="8" t="n">
        <v>2</v>
      </c>
      <c r="D111" s="8" t="n">
        <v>1</v>
      </c>
      <c r="E111" s="8" t="inlineStr">
        <is>
          <t>JAWA BARAT</t>
        </is>
      </c>
      <c r="F111" s="8" t="inlineStr">
        <is>
          <t>KAB/KOTA CONTOH 2</t>
        </is>
      </c>
      <c r="G111" s="8" t="inlineStr">
        <is>
          <t>KEC CONTOH 2</t>
        </is>
      </c>
      <c r="H111" s="8" t="inlineStr">
        <is>
          <t>KELURAHAN CONTOH 12-001</t>
        </is>
      </c>
      <c r="I111" s="6" t="n">
        <v>1</v>
      </c>
      <c r="J111" s="9" t="n">
        <v>2851893</v>
      </c>
    </row>
    <row r="112">
      <c r="A112" s="8" t="n">
        <v>22</v>
      </c>
      <c r="B112" s="8" t="n">
        <v>3</v>
      </c>
      <c r="C112" s="8" t="n">
        <v>3</v>
      </c>
      <c r="D112" s="8" t="n">
        <v>2</v>
      </c>
      <c r="E112" s="8" t="inlineStr">
        <is>
          <t>JAWA BARAT</t>
        </is>
      </c>
      <c r="F112" s="8" t="inlineStr">
        <is>
          <t>KAB/KOTA CONTOH 3</t>
        </is>
      </c>
      <c r="G112" s="8" t="inlineStr">
        <is>
          <t>KEC CONTOH 3</t>
        </is>
      </c>
      <c r="H112" s="8" t="inlineStr">
        <is>
          <t>KELURAHAN CONTOH 12-002</t>
        </is>
      </c>
      <c r="I112" s="6" t="n">
        <v>1</v>
      </c>
      <c r="J112" s="9" t="n">
        <v>3827541</v>
      </c>
    </row>
    <row r="113">
      <c r="A113" s="8" t="n">
        <v>22</v>
      </c>
      <c r="B113" s="8" t="n">
        <v>4</v>
      </c>
      <c r="C113" s="8" t="n">
        <v>4</v>
      </c>
      <c r="D113" s="8" t="n">
        <v>3</v>
      </c>
      <c r="E113" s="8" t="inlineStr">
        <is>
          <t>JAWA BARAT</t>
        </is>
      </c>
      <c r="F113" s="8" t="inlineStr">
        <is>
          <t>KAB/KOTA CONTOH 4</t>
        </is>
      </c>
      <c r="G113" s="8" t="inlineStr">
        <is>
          <t>KEC CONTOH 4</t>
        </is>
      </c>
      <c r="H113" s="8" t="inlineStr">
        <is>
          <t>KELURAHAN CONTOH 12-003</t>
        </is>
      </c>
      <c r="I113" s="6" t="n">
        <v>1</v>
      </c>
      <c r="J113" s="9" t="n">
        <v>4803189</v>
      </c>
    </row>
    <row r="114">
      <c r="A114" s="8" t="n">
        <v>22</v>
      </c>
      <c r="B114" s="8" t="n">
        <v>5</v>
      </c>
      <c r="C114" s="8" t="n">
        <v>5</v>
      </c>
      <c r="D114" s="8" t="n">
        <v>4</v>
      </c>
      <c r="E114" s="8" t="inlineStr">
        <is>
          <t>JAWA BARAT</t>
        </is>
      </c>
      <c r="F114" s="8" t="inlineStr">
        <is>
          <t>KAB/KOTA CONTOH 5</t>
        </is>
      </c>
      <c r="G114" s="8" t="inlineStr">
        <is>
          <t>KEC CONTOH 5</t>
        </is>
      </c>
      <c r="H114" s="8" t="inlineStr">
        <is>
          <t>KELURAHAN CONTOH 12-004</t>
        </is>
      </c>
      <c r="I114" s="6" t="n">
        <v>1</v>
      </c>
      <c r="J114" s="9" t="n">
        <v>2701794</v>
      </c>
    </row>
    <row r="115">
      <c r="A115" s="8" t="n">
        <v>22</v>
      </c>
      <c r="B115" s="8" t="n">
        <v>6</v>
      </c>
      <c r="C115" s="8" t="n">
        <v>6</v>
      </c>
      <c r="D115" s="8" t="n">
        <v>5</v>
      </c>
      <c r="E115" s="8" t="inlineStr">
        <is>
          <t>JAWA BARAT</t>
        </is>
      </c>
      <c r="F115" s="8" t="inlineStr">
        <is>
          <t>KAB/KOTA CONTOH 6</t>
        </is>
      </c>
      <c r="G115" s="8" t="inlineStr">
        <is>
          <t>KEC CONTOH 6</t>
        </is>
      </c>
      <c r="H115" s="8" t="inlineStr">
        <is>
          <t>KELURAHAN CONTOH 12-005</t>
        </is>
      </c>
      <c r="I115" s="6" t="n">
        <v>1</v>
      </c>
      <c r="J115" s="9" t="n">
        <v>3677442</v>
      </c>
    </row>
    <row r="116">
      <c r="A116" s="8" t="n">
        <v>22</v>
      </c>
      <c r="B116" s="8" t="n">
        <v>7</v>
      </c>
      <c r="C116" s="8" t="n">
        <v>7</v>
      </c>
      <c r="D116" s="8" t="n">
        <v>6</v>
      </c>
      <c r="E116" s="8" t="inlineStr">
        <is>
          <t>JAWA BARAT</t>
        </is>
      </c>
      <c r="F116" s="8" t="inlineStr">
        <is>
          <t>KAB/KOTA CONTOH 7</t>
        </is>
      </c>
      <c r="G116" s="8" t="inlineStr">
        <is>
          <t>KEC CONTOH 7</t>
        </is>
      </c>
      <c r="H116" s="8" t="inlineStr">
        <is>
          <t>DESA CONTOH 12-006</t>
        </is>
      </c>
      <c r="I116" s="6" t="n">
        <v>2</v>
      </c>
      <c r="J116" s="9" t="n">
        <v>4653090</v>
      </c>
    </row>
    <row r="117">
      <c r="A117" s="8" t="n">
        <v>22</v>
      </c>
      <c r="B117" s="8" t="n">
        <v>8</v>
      </c>
      <c r="C117" s="8" t="n">
        <v>8</v>
      </c>
      <c r="D117" s="8" t="n">
        <v>7</v>
      </c>
      <c r="E117" s="8" t="inlineStr">
        <is>
          <t>JAWA BARAT</t>
        </is>
      </c>
      <c r="F117" s="8" t="inlineStr">
        <is>
          <t>KAB/KOTA CONTOH 8</t>
        </is>
      </c>
      <c r="G117" s="8" t="inlineStr">
        <is>
          <t>KEC CONTOH 8</t>
        </is>
      </c>
      <c r="H117" s="8" t="inlineStr">
        <is>
          <t>DESA CONTOH 12-007</t>
        </is>
      </c>
      <c r="I117" s="6" t="n">
        <v>2</v>
      </c>
      <c r="J117" s="9" t="n">
        <v>2551694</v>
      </c>
    </row>
    <row r="118">
      <c r="A118" s="8" t="n">
        <v>22</v>
      </c>
      <c r="B118" s="8" t="n">
        <v>9</v>
      </c>
      <c r="C118" s="8" t="n">
        <v>9</v>
      </c>
      <c r="D118" s="8" t="n">
        <v>8</v>
      </c>
      <c r="E118" s="8" t="inlineStr">
        <is>
          <t>JAWA BARAT</t>
        </is>
      </c>
      <c r="F118" s="8" t="inlineStr">
        <is>
          <t>KAB/KOTA CONTOH 9</t>
        </is>
      </c>
      <c r="G118" s="8" t="inlineStr">
        <is>
          <t>KEC CONTOH 9</t>
        </is>
      </c>
      <c r="H118" s="8" t="inlineStr">
        <is>
          <t>DESA CONTOH 12-008</t>
        </is>
      </c>
      <c r="I118" s="6" t="n">
        <v>2</v>
      </c>
      <c r="J118" s="9" t="n">
        <v>3527342</v>
      </c>
    </row>
    <row r="119">
      <c r="A119" s="8" t="n">
        <v>22</v>
      </c>
      <c r="B119" s="8" t="n">
        <v>1</v>
      </c>
      <c r="C119" s="8" t="n">
        <v>10</v>
      </c>
      <c r="D119" s="8" t="n">
        <v>9</v>
      </c>
      <c r="E119" s="8" t="inlineStr">
        <is>
          <t>JAWA BARAT</t>
        </is>
      </c>
      <c r="F119" s="8" t="inlineStr">
        <is>
          <t>KAB/KOTA CONTOH 1</t>
        </is>
      </c>
      <c r="G119" s="8" t="inlineStr">
        <is>
          <t>KEC CONTOH 10</t>
        </is>
      </c>
      <c r="H119" s="8" t="inlineStr">
        <is>
          <t>DESA CONTOH 12-009</t>
        </is>
      </c>
      <c r="I119" s="6" t="n">
        <v>2</v>
      </c>
      <c r="J119" s="9" t="n">
        <v>4502990</v>
      </c>
    </row>
    <row r="120">
      <c r="A120" s="8" t="n">
        <v>22</v>
      </c>
      <c r="B120" s="8" t="n">
        <v>2</v>
      </c>
      <c r="C120" s="8" t="n">
        <v>11</v>
      </c>
      <c r="D120" s="8" t="n">
        <v>10</v>
      </c>
      <c r="E120" s="8" t="inlineStr">
        <is>
          <t>JAWA BARAT</t>
        </is>
      </c>
      <c r="F120" s="8" t="inlineStr">
        <is>
          <t>KAB/KOTA CONTOH 2</t>
        </is>
      </c>
      <c r="G120" s="8" t="inlineStr">
        <is>
          <t>KEC CONTOH 11</t>
        </is>
      </c>
      <c r="H120" s="8" t="inlineStr">
        <is>
          <t>DESA CONTOH 12-010</t>
        </is>
      </c>
      <c r="I120" s="6" t="n">
        <v>2</v>
      </c>
      <c r="J120" s="9" t="n">
        <v>2401594</v>
      </c>
    </row>
    <row r="121">
      <c r="A121" s="8" t="n">
        <v>22</v>
      </c>
      <c r="B121" s="8" t="n">
        <v>3</v>
      </c>
      <c r="C121" s="8" t="n">
        <v>12</v>
      </c>
      <c r="D121" s="8" t="n">
        <v>11</v>
      </c>
      <c r="E121" s="8" t="inlineStr">
        <is>
          <t>JAWA BARAT</t>
        </is>
      </c>
      <c r="F121" s="8" t="inlineStr">
        <is>
          <t>KAB/KOTA CONTOH 3</t>
        </is>
      </c>
      <c r="G121" s="8" t="inlineStr">
        <is>
          <t>KEC CONTOH 12</t>
        </is>
      </c>
      <c r="H121" s="8" t="inlineStr">
        <is>
          <t>DESA CONTOH 12-011</t>
        </is>
      </c>
      <c r="I121" s="6" t="n">
        <v>2</v>
      </c>
      <c r="J121" s="9" t="n">
        <v>3377242</v>
      </c>
    </row>
    <row r="122">
      <c r="A122" s="8" t="n">
        <v>22</v>
      </c>
      <c r="B122" s="8" t="n">
        <v>4</v>
      </c>
      <c r="C122" s="8" t="n">
        <v>13</v>
      </c>
      <c r="D122" s="8" t="n">
        <v>12</v>
      </c>
      <c r="E122" s="8" t="inlineStr">
        <is>
          <t>JAWA BARAT</t>
        </is>
      </c>
      <c r="F122" s="8" t="inlineStr">
        <is>
          <t>KAB/KOTA CONTOH 4</t>
        </is>
      </c>
      <c r="G122" s="8" t="inlineStr">
        <is>
          <t>KEC CONTOH 13</t>
        </is>
      </c>
      <c r="H122" s="8" t="inlineStr">
        <is>
          <t>DESA CONTOH 12-012</t>
        </is>
      </c>
      <c r="I122" s="6" t="n">
        <v>2</v>
      </c>
      <c r="J122" s="9" t="n">
        <v>4352890</v>
      </c>
    </row>
    <row r="123">
      <c r="A123" s="8" t="n">
        <v>22</v>
      </c>
      <c r="B123" s="8" t="n">
        <v>5</v>
      </c>
      <c r="C123" s="8" t="n">
        <v>14</v>
      </c>
      <c r="D123" s="8" t="n">
        <v>13</v>
      </c>
      <c r="E123" s="8" t="inlineStr">
        <is>
          <t>JAWA BARAT</t>
        </is>
      </c>
      <c r="F123" s="8" t="inlineStr">
        <is>
          <t>KAB/KOTA CONTOH 5</t>
        </is>
      </c>
      <c r="G123" s="8" t="inlineStr">
        <is>
          <t>KEC CONTOH 14</t>
        </is>
      </c>
      <c r="H123" s="8" t="inlineStr">
        <is>
          <t>DESA CONTOH 12-013</t>
        </is>
      </c>
      <c r="I123" s="6" t="n">
        <v>2</v>
      </c>
      <c r="J123" s="9" t="n">
        <v>2251495</v>
      </c>
    </row>
    <row r="124">
      <c r="A124" s="8" t="n">
        <v>23</v>
      </c>
      <c r="B124" s="8" t="n">
        <v>2</v>
      </c>
      <c r="C124" s="8" t="n">
        <v>2</v>
      </c>
      <c r="D124" s="8" t="n">
        <v>1</v>
      </c>
      <c r="E124" s="8" t="inlineStr">
        <is>
          <t>JAWA TENGAH</t>
        </is>
      </c>
      <c r="F124" s="8" t="inlineStr">
        <is>
          <t>KAB/KOTA CONTOH 2</t>
        </is>
      </c>
      <c r="G124" s="8" t="inlineStr">
        <is>
          <t>KEC CONTOH 2</t>
        </is>
      </c>
      <c r="H124" s="8" t="inlineStr">
        <is>
          <t>KELURAHAN CONTOH 13-001</t>
        </is>
      </c>
      <c r="I124" s="6" t="n">
        <v>1</v>
      </c>
      <c r="J124" s="9" t="n">
        <v>3006204</v>
      </c>
    </row>
    <row r="125">
      <c r="A125" s="8" t="n">
        <v>23</v>
      </c>
      <c r="B125" s="8" t="n">
        <v>3</v>
      </c>
      <c r="C125" s="8" t="n">
        <v>3</v>
      </c>
      <c r="D125" s="8" t="n">
        <v>2</v>
      </c>
      <c r="E125" s="8" t="inlineStr">
        <is>
          <t>JAWA TENGAH</t>
        </is>
      </c>
      <c r="F125" s="8" t="inlineStr">
        <is>
          <t>KAB/KOTA CONTOH 3</t>
        </is>
      </c>
      <c r="G125" s="8" t="inlineStr">
        <is>
          <t>KEC CONTOH 3</t>
        </is>
      </c>
      <c r="H125" s="8" t="inlineStr">
        <is>
          <t>KELURAHAN CONTOH 13-002</t>
        </is>
      </c>
      <c r="I125" s="6" t="n">
        <v>1</v>
      </c>
      <c r="J125" s="9" t="n">
        <v>3874663</v>
      </c>
    </row>
    <row r="126">
      <c r="A126" s="8" t="n">
        <v>23</v>
      </c>
      <c r="B126" s="8" t="n">
        <v>4</v>
      </c>
      <c r="C126" s="8" t="n">
        <v>4</v>
      </c>
      <c r="D126" s="8" t="n">
        <v>3</v>
      </c>
      <c r="E126" s="8" t="inlineStr">
        <is>
          <t>JAWA TENGAH</t>
        </is>
      </c>
      <c r="F126" s="8" t="inlineStr">
        <is>
          <t>KAB/KOTA CONTOH 4</t>
        </is>
      </c>
      <c r="G126" s="8" t="inlineStr">
        <is>
          <t>KEC CONTOH 4</t>
        </is>
      </c>
      <c r="H126" s="8" t="inlineStr">
        <is>
          <t>DESA CONTOH 13-003</t>
        </is>
      </c>
      <c r="I126" s="6" t="n">
        <v>2</v>
      </c>
      <c r="J126" s="9" t="n">
        <v>2004136</v>
      </c>
    </row>
    <row r="127">
      <c r="A127" s="8" t="n">
        <v>23</v>
      </c>
      <c r="B127" s="8" t="n">
        <v>5</v>
      </c>
      <c r="C127" s="8" t="n">
        <v>5</v>
      </c>
      <c r="D127" s="8" t="n">
        <v>4</v>
      </c>
      <c r="E127" s="8" t="inlineStr">
        <is>
          <t>JAWA TENGAH</t>
        </is>
      </c>
      <c r="F127" s="8" t="inlineStr">
        <is>
          <t>KAB/KOTA CONTOH 5</t>
        </is>
      </c>
      <c r="G127" s="8" t="inlineStr">
        <is>
          <t>KEC CONTOH 5</t>
        </is>
      </c>
      <c r="H127" s="8" t="inlineStr">
        <is>
          <t>DESA CONTOH 13-004</t>
        </is>
      </c>
      <c r="I127" s="6" t="n">
        <v>2</v>
      </c>
      <c r="J127" s="9" t="n">
        <v>2872595</v>
      </c>
    </row>
    <row r="128">
      <c r="A128" s="8" t="n">
        <v>23</v>
      </c>
      <c r="B128" s="8" t="n">
        <v>6</v>
      </c>
      <c r="C128" s="8" t="n">
        <v>6</v>
      </c>
      <c r="D128" s="8" t="n">
        <v>5</v>
      </c>
      <c r="E128" s="8" t="inlineStr">
        <is>
          <t>JAWA TENGAH</t>
        </is>
      </c>
      <c r="F128" s="8" t="inlineStr">
        <is>
          <t>KAB/KOTA CONTOH 6</t>
        </is>
      </c>
      <c r="G128" s="8" t="inlineStr">
        <is>
          <t>KEC CONTOH 6</t>
        </is>
      </c>
      <c r="H128" s="8" t="inlineStr">
        <is>
          <t>DESA CONTOH 13-005</t>
        </is>
      </c>
      <c r="I128" s="6" t="n">
        <v>2</v>
      </c>
      <c r="J128" s="9" t="n">
        <v>3741054</v>
      </c>
    </row>
    <row r="129">
      <c r="A129" s="8" t="n">
        <v>23</v>
      </c>
      <c r="B129" s="8" t="n">
        <v>7</v>
      </c>
      <c r="C129" s="8" t="n">
        <v>7</v>
      </c>
      <c r="D129" s="8" t="n">
        <v>6</v>
      </c>
      <c r="E129" s="8" t="inlineStr">
        <is>
          <t>JAWA TENGAH</t>
        </is>
      </c>
      <c r="F129" s="8" t="inlineStr">
        <is>
          <t>KAB/KOTA CONTOH 7</t>
        </is>
      </c>
      <c r="G129" s="8" t="inlineStr">
        <is>
          <t>KEC CONTOH 7</t>
        </is>
      </c>
      <c r="H129" s="8" t="inlineStr">
        <is>
          <t>DESA CONTOH 13-006</t>
        </is>
      </c>
      <c r="I129" s="6" t="n">
        <v>2</v>
      </c>
      <c r="J129" s="9" t="n">
        <v>4609513</v>
      </c>
    </row>
    <row r="130">
      <c r="A130" s="8" t="n">
        <v>23</v>
      </c>
      <c r="B130" s="8" t="n">
        <v>8</v>
      </c>
      <c r="C130" s="8" t="n">
        <v>8</v>
      </c>
      <c r="D130" s="8" t="n">
        <v>7</v>
      </c>
      <c r="E130" s="8" t="inlineStr">
        <is>
          <t>JAWA TENGAH</t>
        </is>
      </c>
      <c r="F130" s="8" t="inlineStr">
        <is>
          <t>KAB/KOTA CONTOH 8</t>
        </is>
      </c>
      <c r="G130" s="8" t="inlineStr">
        <is>
          <t>KEC CONTOH 8</t>
        </is>
      </c>
      <c r="H130" s="8" t="inlineStr">
        <is>
          <t>DESA CONTOH 13-007</t>
        </is>
      </c>
      <c r="I130" s="6" t="n">
        <v>2</v>
      </c>
      <c r="J130" s="9" t="n">
        <v>2738986</v>
      </c>
    </row>
    <row r="131">
      <c r="A131" s="8" t="n">
        <v>23</v>
      </c>
      <c r="B131" s="8" t="n">
        <v>9</v>
      </c>
      <c r="C131" s="8" t="n">
        <v>9</v>
      </c>
      <c r="D131" s="8" t="n">
        <v>8</v>
      </c>
      <c r="E131" s="8" t="inlineStr">
        <is>
          <t>JAWA TENGAH</t>
        </is>
      </c>
      <c r="F131" s="8" t="inlineStr">
        <is>
          <t>KAB/KOTA CONTOH 9</t>
        </is>
      </c>
      <c r="G131" s="8" t="inlineStr">
        <is>
          <t>KEC CONTOH 9</t>
        </is>
      </c>
      <c r="H131" s="8" t="inlineStr">
        <is>
          <t>DESA CONTOH 13-008</t>
        </is>
      </c>
      <c r="I131" s="6" t="n">
        <v>2</v>
      </c>
      <c r="J131" s="9" t="n">
        <v>3607445</v>
      </c>
    </row>
    <row r="132">
      <c r="A132" s="8" t="n">
        <v>23</v>
      </c>
      <c r="B132" s="8" t="n">
        <v>1</v>
      </c>
      <c r="C132" s="8" t="n">
        <v>10</v>
      </c>
      <c r="D132" s="8" t="n">
        <v>9</v>
      </c>
      <c r="E132" s="8" t="inlineStr">
        <is>
          <t>JAWA TENGAH</t>
        </is>
      </c>
      <c r="F132" s="8" t="inlineStr">
        <is>
          <t>KAB/KOTA CONTOH 1</t>
        </is>
      </c>
      <c r="G132" s="8" t="inlineStr">
        <is>
          <t>KEC CONTOH 10</t>
        </is>
      </c>
      <c r="H132" s="8" t="inlineStr">
        <is>
          <t>DESA CONTOH 13-009</t>
        </is>
      </c>
      <c r="I132" s="6" t="n">
        <v>2</v>
      </c>
      <c r="J132" s="9" t="n">
        <v>4475904</v>
      </c>
    </row>
    <row r="133">
      <c r="A133" s="8" t="n">
        <v>23</v>
      </c>
      <c r="B133" s="8" t="n">
        <v>2</v>
      </c>
      <c r="C133" s="8" t="n">
        <v>11</v>
      </c>
      <c r="D133" s="8" t="n">
        <v>10</v>
      </c>
      <c r="E133" s="8" t="inlineStr">
        <is>
          <t>JAWA TENGAH</t>
        </is>
      </c>
      <c r="F133" s="8" t="inlineStr">
        <is>
          <t>KAB/KOTA CONTOH 2</t>
        </is>
      </c>
      <c r="G133" s="8" t="inlineStr">
        <is>
          <t>KEC CONTOH 11</t>
        </is>
      </c>
      <c r="H133" s="8" t="inlineStr">
        <is>
          <t>DESA CONTOH 13-010</t>
        </is>
      </c>
      <c r="I133" s="6" t="n">
        <v>2</v>
      </c>
      <c r="J133" s="9" t="n">
        <v>2605377</v>
      </c>
    </row>
    <row r="134">
      <c r="A134" s="8" t="n">
        <v>23</v>
      </c>
      <c r="B134" s="8" t="n">
        <v>3</v>
      </c>
      <c r="C134" s="8" t="n">
        <v>12</v>
      </c>
      <c r="D134" s="8" t="n">
        <v>11</v>
      </c>
      <c r="E134" s="8" t="inlineStr">
        <is>
          <t>JAWA TENGAH</t>
        </is>
      </c>
      <c r="F134" s="8" t="inlineStr">
        <is>
          <t>KAB/KOTA CONTOH 3</t>
        </is>
      </c>
      <c r="G134" s="8" t="inlineStr">
        <is>
          <t>KEC CONTOH 12</t>
        </is>
      </c>
      <c r="H134" s="8" t="inlineStr">
        <is>
          <t>DESA CONTOH 13-011</t>
        </is>
      </c>
      <c r="I134" s="6" t="n">
        <v>2</v>
      </c>
      <c r="J134" s="9" t="n">
        <v>3473836</v>
      </c>
    </row>
    <row r="135">
      <c r="A135" s="8" t="n">
        <v>24</v>
      </c>
      <c r="B135" s="8" t="n">
        <v>2</v>
      </c>
      <c r="C135" s="8" t="n">
        <v>2</v>
      </c>
      <c r="D135" s="8" t="n">
        <v>1</v>
      </c>
      <c r="E135" s="8" t="inlineStr">
        <is>
          <t>D.I YOGYAKARTA</t>
        </is>
      </c>
      <c r="F135" s="8" t="inlineStr">
        <is>
          <t>KAB/KOTA CONTOH 2</t>
        </is>
      </c>
      <c r="G135" s="8" t="inlineStr">
        <is>
          <t>KEC CONTOH 2</t>
        </is>
      </c>
      <c r="H135" s="8" t="inlineStr">
        <is>
          <t>KELURAHAN CONTOH 14-001</t>
        </is>
      </c>
      <c r="I135" s="6" t="n">
        <v>1</v>
      </c>
      <c r="J135" s="9" t="n">
        <v>297031</v>
      </c>
    </row>
    <row r="136">
      <c r="A136" s="8" t="n">
        <v>24</v>
      </c>
      <c r="B136" s="8" t="n">
        <v>3</v>
      </c>
      <c r="C136" s="8" t="n">
        <v>3</v>
      </c>
      <c r="D136" s="8" t="n">
        <v>2</v>
      </c>
      <c r="E136" s="8" t="inlineStr">
        <is>
          <t>D.I YOGYAKARTA</t>
        </is>
      </c>
      <c r="F136" s="8" t="inlineStr">
        <is>
          <t>KAB/KOTA CONTOH 3</t>
        </is>
      </c>
      <c r="G136" s="8" t="inlineStr">
        <is>
          <t>KEC CONTOH 3</t>
        </is>
      </c>
      <c r="H136" s="8" t="inlineStr">
        <is>
          <t>KELURAHAN CONTOH 14-002</t>
        </is>
      </c>
      <c r="I136" s="6" t="n">
        <v>1</v>
      </c>
      <c r="J136" s="9" t="n">
        <v>371289</v>
      </c>
    </row>
    <row r="137">
      <c r="A137" s="8" t="n">
        <v>24</v>
      </c>
      <c r="B137" s="8" t="n">
        <v>4</v>
      </c>
      <c r="C137" s="8" t="n">
        <v>4</v>
      </c>
      <c r="D137" s="8" t="n">
        <v>3</v>
      </c>
      <c r="E137" s="8" t="inlineStr">
        <is>
          <t>D.I YOGYAKARTA</t>
        </is>
      </c>
      <c r="F137" s="8" t="inlineStr">
        <is>
          <t>KAB/KOTA CONTOH 4</t>
        </is>
      </c>
      <c r="G137" s="8" t="inlineStr">
        <is>
          <t>KEC CONTOH 4</t>
        </is>
      </c>
      <c r="H137" s="8" t="inlineStr">
        <is>
          <t>KELURAHAN CONTOH 14-003</t>
        </is>
      </c>
      <c r="I137" s="6" t="n">
        <v>1</v>
      </c>
      <c r="J137" s="9" t="n">
        <v>211349</v>
      </c>
    </row>
    <row r="138">
      <c r="A138" s="8" t="n">
        <v>24</v>
      </c>
      <c r="B138" s="8" t="n">
        <v>5</v>
      </c>
      <c r="C138" s="8" t="n">
        <v>5</v>
      </c>
      <c r="D138" s="8" t="n">
        <v>4</v>
      </c>
      <c r="E138" s="8" t="inlineStr">
        <is>
          <t>D.I YOGYAKARTA</t>
        </is>
      </c>
      <c r="F138" s="8" t="inlineStr">
        <is>
          <t>KAB/KOTA CONTOH 5</t>
        </is>
      </c>
      <c r="G138" s="8" t="inlineStr">
        <is>
          <t>KEC CONTOH 5</t>
        </is>
      </c>
      <c r="H138" s="8" t="inlineStr">
        <is>
          <t>DESA CONTOH 14-004</t>
        </is>
      </c>
      <c r="I138" s="6" t="n">
        <v>2</v>
      </c>
      <c r="J138" s="9" t="n">
        <v>285607</v>
      </c>
    </row>
    <row r="139">
      <c r="A139" s="8" t="n">
        <v>24</v>
      </c>
      <c r="B139" s="8" t="n">
        <v>6</v>
      </c>
      <c r="C139" s="8" t="n">
        <v>6</v>
      </c>
      <c r="D139" s="8" t="n">
        <v>5</v>
      </c>
      <c r="E139" s="8" t="inlineStr">
        <is>
          <t>D.I YOGYAKARTA</t>
        </is>
      </c>
      <c r="F139" s="8" t="inlineStr">
        <is>
          <t>KAB/KOTA CONTOH 6</t>
        </is>
      </c>
      <c r="G139" s="8" t="inlineStr">
        <is>
          <t>KEC CONTOH 6</t>
        </is>
      </c>
      <c r="H139" s="8" t="inlineStr">
        <is>
          <t>DESA CONTOH 14-005</t>
        </is>
      </c>
      <c r="I139" s="6" t="n">
        <v>2</v>
      </c>
      <c r="J139" s="9" t="n">
        <v>359864</v>
      </c>
    </row>
    <row r="140">
      <c r="A140" s="8" t="n">
        <v>24</v>
      </c>
      <c r="B140" s="8" t="n">
        <v>7</v>
      </c>
      <c r="C140" s="8" t="n">
        <v>7</v>
      </c>
      <c r="D140" s="8" t="n">
        <v>6</v>
      </c>
      <c r="E140" s="8" t="inlineStr">
        <is>
          <t>D.I YOGYAKARTA</t>
        </is>
      </c>
      <c r="F140" s="8" t="inlineStr">
        <is>
          <t>KAB/KOTA CONTOH 7</t>
        </is>
      </c>
      <c r="G140" s="8" t="inlineStr">
        <is>
          <t>KEC CONTOH 7</t>
        </is>
      </c>
      <c r="H140" s="8" t="inlineStr">
        <is>
          <t>DESA CONTOH 14-006</t>
        </is>
      </c>
      <c r="I140" s="6" t="n">
        <v>2</v>
      </c>
      <c r="J140" s="9" t="n">
        <v>199924</v>
      </c>
    </row>
    <row r="141">
      <c r="A141" s="8" t="n">
        <v>24</v>
      </c>
      <c r="B141" s="8" t="n">
        <v>8</v>
      </c>
      <c r="C141" s="8" t="n">
        <v>8</v>
      </c>
      <c r="D141" s="8" t="n">
        <v>7</v>
      </c>
      <c r="E141" s="8" t="inlineStr">
        <is>
          <t>D.I YOGYAKARTA</t>
        </is>
      </c>
      <c r="F141" s="8" t="inlineStr">
        <is>
          <t>KAB/KOTA CONTOH 8</t>
        </is>
      </c>
      <c r="G141" s="8" t="inlineStr">
        <is>
          <t>KEC CONTOH 8</t>
        </is>
      </c>
      <c r="H141" s="8" t="inlineStr">
        <is>
          <t>DESA CONTOH 14-007</t>
        </is>
      </c>
      <c r="I141" s="6" t="n">
        <v>2</v>
      </c>
      <c r="J141" s="9" t="n">
        <v>274182</v>
      </c>
    </row>
    <row r="142">
      <c r="A142" s="8" t="n">
        <v>24</v>
      </c>
      <c r="B142" s="8" t="n">
        <v>9</v>
      </c>
      <c r="C142" s="8" t="n">
        <v>9</v>
      </c>
      <c r="D142" s="8" t="n">
        <v>8</v>
      </c>
      <c r="E142" s="8" t="inlineStr">
        <is>
          <t>D.I YOGYAKARTA</t>
        </is>
      </c>
      <c r="F142" s="8" t="inlineStr">
        <is>
          <t>KAB/KOTA CONTOH 9</t>
        </is>
      </c>
      <c r="G142" s="8" t="inlineStr">
        <is>
          <t>KEC CONTOH 9</t>
        </is>
      </c>
      <c r="H142" s="8" t="inlineStr">
        <is>
          <t>DESA CONTOH 14-008</t>
        </is>
      </c>
      <c r="I142" s="6" t="n">
        <v>2</v>
      </c>
      <c r="J142" s="9" t="n">
        <v>348440</v>
      </c>
    </row>
    <row r="143">
      <c r="A143" s="8" t="n">
        <v>24</v>
      </c>
      <c r="B143" s="8" t="n">
        <v>1</v>
      </c>
      <c r="C143" s="8" t="n">
        <v>10</v>
      </c>
      <c r="D143" s="8" t="n">
        <v>9</v>
      </c>
      <c r="E143" s="8" t="inlineStr">
        <is>
          <t>D.I YOGYAKARTA</t>
        </is>
      </c>
      <c r="F143" s="8" t="inlineStr">
        <is>
          <t>KAB/KOTA CONTOH 1</t>
        </is>
      </c>
      <c r="G143" s="8" t="inlineStr">
        <is>
          <t>KEC CONTOH 10</t>
        </is>
      </c>
      <c r="H143" s="8" t="inlineStr">
        <is>
          <t>DESA CONTOH 14-009</t>
        </is>
      </c>
      <c r="I143" s="6" t="n">
        <v>2</v>
      </c>
      <c r="J143" s="9" t="n">
        <v>188500</v>
      </c>
    </row>
    <row r="144">
      <c r="A144" s="8" t="n">
        <v>24</v>
      </c>
      <c r="B144" s="8" t="n">
        <v>2</v>
      </c>
      <c r="C144" s="8" t="n">
        <v>11</v>
      </c>
      <c r="D144" s="8" t="n">
        <v>10</v>
      </c>
      <c r="E144" s="8" t="inlineStr">
        <is>
          <t>D.I YOGYAKARTA</t>
        </is>
      </c>
      <c r="F144" s="8" t="inlineStr">
        <is>
          <t>KAB/KOTA CONTOH 2</t>
        </is>
      </c>
      <c r="G144" s="8" t="inlineStr">
        <is>
          <t>KEC CONTOH 11</t>
        </is>
      </c>
      <c r="H144" s="8" t="inlineStr">
        <is>
          <t>DESA CONTOH 14-010</t>
        </is>
      </c>
      <c r="I144" s="6" t="n">
        <v>2</v>
      </c>
      <c r="J144" s="9" t="n">
        <v>262758</v>
      </c>
    </row>
    <row r="145">
      <c r="A145" s="8" t="n">
        <v>24</v>
      </c>
      <c r="B145" s="8" t="n">
        <v>3</v>
      </c>
      <c r="C145" s="8" t="n">
        <v>12</v>
      </c>
      <c r="D145" s="8" t="n">
        <v>11</v>
      </c>
      <c r="E145" s="8" t="inlineStr">
        <is>
          <t>D.I YOGYAKARTA</t>
        </is>
      </c>
      <c r="F145" s="8" t="inlineStr">
        <is>
          <t>KAB/KOTA CONTOH 3</t>
        </is>
      </c>
      <c r="G145" s="8" t="inlineStr">
        <is>
          <t>KEC CONTOH 12</t>
        </is>
      </c>
      <c r="H145" s="8" t="inlineStr">
        <is>
          <t>DESA CONTOH 14-011</t>
        </is>
      </c>
      <c r="I145" s="6" t="n">
        <v>2</v>
      </c>
      <c r="J145" s="9" t="n">
        <v>337016</v>
      </c>
    </row>
    <row r="146">
      <c r="A146" s="8" t="n">
        <v>24</v>
      </c>
      <c r="B146" s="8" t="n">
        <v>4</v>
      </c>
      <c r="C146" s="8" t="n">
        <v>13</v>
      </c>
      <c r="D146" s="8" t="n">
        <v>12</v>
      </c>
      <c r="E146" s="8" t="inlineStr">
        <is>
          <t>D.I YOGYAKARTA</t>
        </is>
      </c>
      <c r="F146" s="8" t="inlineStr">
        <is>
          <t>KAB/KOTA CONTOH 4</t>
        </is>
      </c>
      <c r="G146" s="8" t="inlineStr">
        <is>
          <t>KEC CONTOH 13</t>
        </is>
      </c>
      <c r="H146" s="8" t="inlineStr">
        <is>
          <t>DESA CONTOH 14-012</t>
        </is>
      </c>
      <c r="I146" s="6" t="n">
        <v>2</v>
      </c>
      <c r="J146" s="9" t="n">
        <v>177076</v>
      </c>
    </row>
    <row r="147">
      <c r="A147" s="8" t="n">
        <v>24</v>
      </c>
      <c r="B147" s="8" t="n">
        <v>5</v>
      </c>
      <c r="C147" s="8" t="n">
        <v>14</v>
      </c>
      <c r="D147" s="8" t="n">
        <v>13</v>
      </c>
      <c r="E147" s="8" t="inlineStr">
        <is>
          <t>D.I YOGYAKARTA</t>
        </is>
      </c>
      <c r="F147" s="8" t="inlineStr">
        <is>
          <t>KAB/KOTA CONTOH 5</t>
        </is>
      </c>
      <c r="G147" s="8" t="inlineStr">
        <is>
          <t>KEC CONTOH 14</t>
        </is>
      </c>
      <c r="H147" s="8" t="inlineStr">
        <is>
          <t>DESA CONTOH 14-013</t>
        </is>
      </c>
      <c r="I147" s="6" t="n">
        <v>2</v>
      </c>
      <c r="J147" s="9" t="n">
        <v>251334</v>
      </c>
    </row>
    <row r="148">
      <c r="A148" s="8" t="n">
        <v>25</v>
      </c>
      <c r="B148" s="8" t="n">
        <v>2</v>
      </c>
      <c r="C148" s="8" t="n">
        <v>2</v>
      </c>
      <c r="D148" s="8" t="n">
        <v>1</v>
      </c>
      <c r="E148" s="8" t="inlineStr">
        <is>
          <t>JAWA TIMUR</t>
        </is>
      </c>
      <c r="F148" s="8" t="inlineStr">
        <is>
          <t>KAB/KOTA CONTOH 2</t>
        </is>
      </c>
      <c r="G148" s="8" t="inlineStr">
        <is>
          <t>KEC CONTOH 2</t>
        </is>
      </c>
      <c r="H148" s="8" t="inlineStr">
        <is>
          <t>KELURAHAN CONTOH 15-001</t>
        </is>
      </c>
      <c r="I148" s="6" t="n">
        <v>1</v>
      </c>
      <c r="J148" s="9" t="n">
        <v>6029620</v>
      </c>
    </row>
    <row r="149">
      <c r="A149" s="8" t="n">
        <v>25</v>
      </c>
      <c r="B149" s="8" t="n">
        <v>3</v>
      </c>
      <c r="C149" s="8" t="n">
        <v>3</v>
      </c>
      <c r="D149" s="8" t="n">
        <v>2</v>
      </c>
      <c r="E149" s="8" t="inlineStr">
        <is>
          <t>JAWA TIMUR</t>
        </is>
      </c>
      <c r="F149" s="8" t="inlineStr">
        <is>
          <t>KAB/KOTA CONTOH 3</t>
        </is>
      </c>
      <c r="G149" s="8" t="inlineStr">
        <is>
          <t>KEC CONTOH 3</t>
        </is>
      </c>
      <c r="H149" s="8" t="inlineStr">
        <is>
          <t>KELURAHAN CONTOH 15-002</t>
        </is>
      </c>
      <c r="I149" s="6" t="n">
        <v>1</v>
      </c>
      <c r="J149" s="9" t="n">
        <v>3168105</v>
      </c>
    </row>
    <row r="150">
      <c r="A150" s="8" t="n">
        <v>25</v>
      </c>
      <c r="B150" s="8" t="n">
        <v>4</v>
      </c>
      <c r="C150" s="8" t="n">
        <v>4</v>
      </c>
      <c r="D150" s="8" t="n">
        <v>3</v>
      </c>
      <c r="E150" s="8" t="inlineStr">
        <is>
          <t>JAWA TIMUR</t>
        </is>
      </c>
      <c r="F150" s="8" t="inlineStr">
        <is>
          <t>KAB/KOTA CONTOH 4</t>
        </is>
      </c>
      <c r="G150" s="8" t="inlineStr">
        <is>
          <t>KEC CONTOH 4</t>
        </is>
      </c>
      <c r="H150" s="8" t="inlineStr">
        <is>
          <t>KELURAHAN CONTOH 15-003</t>
        </is>
      </c>
      <c r="I150" s="6" t="n">
        <v>1</v>
      </c>
      <c r="J150" s="9" t="n">
        <v>4496666</v>
      </c>
    </row>
    <row r="151">
      <c r="A151" s="8" t="n">
        <v>25</v>
      </c>
      <c r="B151" s="8" t="n">
        <v>5</v>
      </c>
      <c r="C151" s="8" t="n">
        <v>5</v>
      </c>
      <c r="D151" s="8" t="n">
        <v>4</v>
      </c>
      <c r="E151" s="8" t="inlineStr">
        <is>
          <t>JAWA TIMUR</t>
        </is>
      </c>
      <c r="F151" s="8" t="inlineStr">
        <is>
          <t>KAB/KOTA CONTOH 5</t>
        </is>
      </c>
      <c r="G151" s="8" t="inlineStr">
        <is>
          <t>KEC CONTOH 5</t>
        </is>
      </c>
      <c r="H151" s="8" t="inlineStr">
        <is>
          <t>KELURAHAN CONTOH 15-004</t>
        </is>
      </c>
      <c r="I151" s="6" t="n">
        <v>1</v>
      </c>
      <c r="J151" s="9" t="n">
        <v>5825226</v>
      </c>
    </row>
    <row r="152">
      <c r="A152" s="8" t="n">
        <v>25</v>
      </c>
      <c r="B152" s="8" t="n">
        <v>6</v>
      </c>
      <c r="C152" s="8" t="n">
        <v>6</v>
      </c>
      <c r="D152" s="8" t="n">
        <v>5</v>
      </c>
      <c r="E152" s="8" t="inlineStr">
        <is>
          <t>JAWA TIMUR</t>
        </is>
      </c>
      <c r="F152" s="8" t="inlineStr">
        <is>
          <t>KAB/KOTA CONTOH 6</t>
        </is>
      </c>
      <c r="G152" s="8" t="inlineStr">
        <is>
          <t>KEC CONTOH 6</t>
        </is>
      </c>
      <c r="H152" s="8" t="inlineStr">
        <is>
          <t>DESA CONTOH 15-005</t>
        </is>
      </c>
      <c r="I152" s="6" t="n">
        <v>2</v>
      </c>
      <c r="J152" s="9" t="n">
        <v>7153787</v>
      </c>
    </row>
    <row r="153">
      <c r="A153" s="8" t="n">
        <v>25</v>
      </c>
      <c r="B153" s="8" t="n">
        <v>7</v>
      </c>
      <c r="C153" s="8" t="n">
        <v>7</v>
      </c>
      <c r="D153" s="8" t="n">
        <v>6</v>
      </c>
      <c r="E153" s="8" t="inlineStr">
        <is>
          <t>JAWA TIMUR</t>
        </is>
      </c>
      <c r="F153" s="8" t="inlineStr">
        <is>
          <t>KAB/KOTA CONTOH 7</t>
        </is>
      </c>
      <c r="G153" s="8" t="inlineStr">
        <is>
          <t>KEC CONTOH 7</t>
        </is>
      </c>
      <c r="H153" s="8" t="inlineStr">
        <is>
          <t>DESA CONTOH 15-006</t>
        </is>
      </c>
      <c r="I153" s="6" t="n">
        <v>2</v>
      </c>
      <c r="J153" s="9" t="n">
        <v>4292272</v>
      </c>
    </row>
    <row r="154">
      <c r="A154" s="8" t="n">
        <v>25</v>
      </c>
      <c r="B154" s="8" t="n">
        <v>8</v>
      </c>
      <c r="C154" s="8" t="n">
        <v>8</v>
      </c>
      <c r="D154" s="8" t="n">
        <v>7</v>
      </c>
      <c r="E154" s="8" t="inlineStr">
        <is>
          <t>JAWA TIMUR</t>
        </is>
      </c>
      <c r="F154" s="8" t="inlineStr">
        <is>
          <t>KAB/KOTA CONTOH 8</t>
        </is>
      </c>
      <c r="G154" s="8" t="inlineStr">
        <is>
          <t>KEC CONTOH 8</t>
        </is>
      </c>
      <c r="H154" s="8" t="inlineStr">
        <is>
          <t>DESA CONTOH 15-007</t>
        </is>
      </c>
      <c r="I154" s="6" t="n">
        <v>2</v>
      </c>
      <c r="J154" s="9" t="n">
        <v>5620832</v>
      </c>
    </row>
    <row r="155">
      <c r="A155" s="8" t="n">
        <v>25</v>
      </c>
      <c r="B155" s="8" t="n">
        <v>9</v>
      </c>
      <c r="C155" s="8" t="n">
        <v>9</v>
      </c>
      <c r="D155" s="8" t="n">
        <v>8</v>
      </c>
      <c r="E155" s="8" t="inlineStr">
        <is>
          <t>JAWA TIMUR</t>
        </is>
      </c>
      <c r="F155" s="8" t="inlineStr">
        <is>
          <t>KAB/KOTA CONTOH 9</t>
        </is>
      </c>
      <c r="G155" s="8" t="inlineStr">
        <is>
          <t>KEC CONTOH 9</t>
        </is>
      </c>
      <c r="H155" s="8" t="inlineStr">
        <is>
          <t>DESA CONTOH 15-008</t>
        </is>
      </c>
      <c r="I155" s="6" t="n">
        <v>2</v>
      </c>
      <c r="J155" s="9" t="n">
        <v>6949393</v>
      </c>
    </row>
    <row r="156">
      <c r="A156" s="8" t="n">
        <v>26</v>
      </c>
      <c r="B156" s="8" t="n">
        <v>2</v>
      </c>
      <c r="C156" s="8" t="n">
        <v>2</v>
      </c>
      <c r="D156" s="8" t="n">
        <v>1</v>
      </c>
      <c r="E156" s="8" t="inlineStr">
        <is>
          <t>BANTEN</t>
        </is>
      </c>
      <c r="F156" s="8" t="inlineStr">
        <is>
          <t>KAB/KOTA CONTOH 2</t>
        </is>
      </c>
      <c r="G156" s="8" t="inlineStr">
        <is>
          <t>KEC CONTOH 2</t>
        </is>
      </c>
      <c r="H156" s="8" t="inlineStr">
        <is>
          <t>KELURAHAN CONTOH 16-001</t>
        </is>
      </c>
      <c r="I156" s="6" t="n">
        <v>1</v>
      </c>
      <c r="J156" s="9" t="n">
        <v>1592114</v>
      </c>
    </row>
    <row r="157">
      <c r="A157" s="8" t="n">
        <v>26</v>
      </c>
      <c r="B157" s="8" t="n">
        <v>3</v>
      </c>
      <c r="C157" s="8" t="n">
        <v>3</v>
      </c>
      <c r="D157" s="8" t="n">
        <v>2</v>
      </c>
      <c r="E157" s="8" t="inlineStr">
        <is>
          <t>BANTEN</t>
        </is>
      </c>
      <c r="F157" s="8" t="inlineStr">
        <is>
          <t>KAB/KOTA CONTOH 3</t>
        </is>
      </c>
      <c r="G157" s="8" t="inlineStr">
        <is>
          <t>KEC CONTOH 3</t>
        </is>
      </c>
      <c r="H157" s="8" t="inlineStr">
        <is>
          <t>KELURAHAN CONTOH 16-002</t>
        </is>
      </c>
      <c r="I157" s="6" t="n">
        <v>1</v>
      </c>
      <c r="J157" s="9" t="n">
        <v>916671</v>
      </c>
    </row>
    <row r="158">
      <c r="A158" s="8" t="n">
        <v>26</v>
      </c>
      <c r="B158" s="8" t="n">
        <v>4</v>
      </c>
      <c r="C158" s="8" t="n">
        <v>4</v>
      </c>
      <c r="D158" s="8" t="n">
        <v>3</v>
      </c>
      <c r="E158" s="8" t="inlineStr">
        <is>
          <t>BANTEN</t>
        </is>
      </c>
      <c r="F158" s="8" t="inlineStr">
        <is>
          <t>KAB/KOTA CONTOH 4</t>
        </is>
      </c>
      <c r="G158" s="8" t="inlineStr">
        <is>
          <t>KEC CONTOH 4</t>
        </is>
      </c>
      <c r="H158" s="8" t="inlineStr">
        <is>
          <t>KELURAHAN CONTOH 16-003</t>
        </is>
      </c>
      <c r="I158" s="6" t="n">
        <v>1</v>
      </c>
      <c r="J158" s="9" t="n">
        <v>1230269</v>
      </c>
    </row>
    <row r="159">
      <c r="A159" s="8" t="n">
        <v>26</v>
      </c>
      <c r="B159" s="8" t="n">
        <v>5</v>
      </c>
      <c r="C159" s="8" t="n">
        <v>5</v>
      </c>
      <c r="D159" s="8" t="n">
        <v>4</v>
      </c>
      <c r="E159" s="8" t="inlineStr">
        <is>
          <t>BANTEN</t>
        </is>
      </c>
      <c r="F159" s="8" t="inlineStr">
        <is>
          <t>KAB/KOTA CONTOH 5</t>
        </is>
      </c>
      <c r="G159" s="8" t="inlineStr">
        <is>
          <t>KEC CONTOH 5</t>
        </is>
      </c>
      <c r="H159" s="8" t="inlineStr">
        <is>
          <t>KELURAHAN CONTOH 16-004</t>
        </is>
      </c>
      <c r="I159" s="6" t="n">
        <v>1</v>
      </c>
      <c r="J159" s="9" t="n">
        <v>1543868</v>
      </c>
    </row>
    <row r="160">
      <c r="A160" s="8" t="n">
        <v>26</v>
      </c>
      <c r="B160" s="8" t="n">
        <v>6</v>
      </c>
      <c r="C160" s="8" t="n">
        <v>6</v>
      </c>
      <c r="D160" s="8" t="n">
        <v>5</v>
      </c>
      <c r="E160" s="8" t="inlineStr">
        <is>
          <t>BANTEN</t>
        </is>
      </c>
      <c r="F160" s="8" t="inlineStr">
        <is>
          <t>KAB/KOTA CONTOH 6</t>
        </is>
      </c>
      <c r="G160" s="8" t="inlineStr">
        <is>
          <t>KEC CONTOH 6</t>
        </is>
      </c>
      <c r="H160" s="8" t="inlineStr">
        <is>
          <t>KELURAHAN CONTOH 16-005</t>
        </is>
      </c>
      <c r="I160" s="6" t="n">
        <v>1</v>
      </c>
      <c r="J160" s="9" t="n">
        <v>868425</v>
      </c>
    </row>
    <row r="161">
      <c r="A161" s="8" t="n">
        <v>26</v>
      </c>
      <c r="B161" s="8" t="n">
        <v>7</v>
      </c>
      <c r="C161" s="8" t="n">
        <v>7</v>
      </c>
      <c r="D161" s="8" t="n">
        <v>6</v>
      </c>
      <c r="E161" s="8" t="inlineStr">
        <is>
          <t>BANTEN</t>
        </is>
      </c>
      <c r="F161" s="8" t="inlineStr">
        <is>
          <t>KAB/KOTA CONTOH 7</t>
        </is>
      </c>
      <c r="G161" s="8" t="inlineStr">
        <is>
          <t>KEC CONTOH 7</t>
        </is>
      </c>
      <c r="H161" s="8" t="inlineStr">
        <is>
          <t>DESA CONTOH 16-006</t>
        </is>
      </c>
      <c r="I161" s="6" t="n">
        <v>2</v>
      </c>
      <c r="J161" s="9" t="n">
        <v>1182024</v>
      </c>
    </row>
    <row r="162">
      <c r="A162" s="8" t="n">
        <v>26</v>
      </c>
      <c r="B162" s="8" t="n">
        <v>8</v>
      </c>
      <c r="C162" s="8" t="n">
        <v>8</v>
      </c>
      <c r="D162" s="8" t="n">
        <v>7</v>
      </c>
      <c r="E162" s="8" t="inlineStr">
        <is>
          <t>BANTEN</t>
        </is>
      </c>
      <c r="F162" s="8" t="inlineStr">
        <is>
          <t>KAB/KOTA CONTOH 8</t>
        </is>
      </c>
      <c r="G162" s="8" t="inlineStr">
        <is>
          <t>KEC CONTOH 8</t>
        </is>
      </c>
      <c r="H162" s="8" t="inlineStr">
        <is>
          <t>DESA CONTOH 16-007</t>
        </is>
      </c>
      <c r="I162" s="6" t="n">
        <v>2</v>
      </c>
      <c r="J162" s="9" t="n">
        <v>1495622</v>
      </c>
    </row>
    <row r="163">
      <c r="A163" s="8" t="n">
        <v>26</v>
      </c>
      <c r="B163" s="8" t="n">
        <v>9</v>
      </c>
      <c r="C163" s="8" t="n">
        <v>9</v>
      </c>
      <c r="D163" s="8" t="n">
        <v>8</v>
      </c>
      <c r="E163" s="8" t="inlineStr">
        <is>
          <t>BANTEN</t>
        </is>
      </c>
      <c r="F163" s="8" t="inlineStr">
        <is>
          <t>KAB/KOTA CONTOH 9</t>
        </is>
      </c>
      <c r="G163" s="8" t="inlineStr">
        <is>
          <t>KEC CONTOH 9</t>
        </is>
      </c>
      <c r="H163" s="8" t="inlineStr">
        <is>
          <t>DESA CONTOH 16-008</t>
        </is>
      </c>
      <c r="I163" s="6" t="n">
        <v>2</v>
      </c>
      <c r="J163" s="9" t="n">
        <v>820179</v>
      </c>
    </row>
    <row r="164">
      <c r="A164" s="8" t="n">
        <v>26</v>
      </c>
      <c r="B164" s="8" t="n">
        <v>1</v>
      </c>
      <c r="C164" s="8" t="n">
        <v>10</v>
      </c>
      <c r="D164" s="8" t="n">
        <v>9</v>
      </c>
      <c r="E164" s="8" t="inlineStr">
        <is>
          <t>BANTEN</t>
        </is>
      </c>
      <c r="F164" s="8" t="inlineStr">
        <is>
          <t>KAB/KOTA CONTOH 1</t>
        </is>
      </c>
      <c r="G164" s="8" t="inlineStr">
        <is>
          <t>KEC CONTOH 10</t>
        </is>
      </c>
      <c r="H164" s="8" t="inlineStr">
        <is>
          <t>DESA CONTOH 16-009</t>
        </is>
      </c>
      <c r="I164" s="6" t="n">
        <v>2</v>
      </c>
      <c r="J164" s="9" t="n">
        <v>1133778</v>
      </c>
    </row>
    <row r="165">
      <c r="A165" s="8" t="n">
        <v>26</v>
      </c>
      <c r="B165" s="8" t="n">
        <v>2</v>
      </c>
      <c r="C165" s="8" t="n">
        <v>11</v>
      </c>
      <c r="D165" s="8" t="n">
        <v>10</v>
      </c>
      <c r="E165" s="8" t="inlineStr">
        <is>
          <t>BANTEN</t>
        </is>
      </c>
      <c r="F165" s="8" t="inlineStr">
        <is>
          <t>KAB/KOTA CONTOH 2</t>
        </is>
      </c>
      <c r="G165" s="8" t="inlineStr">
        <is>
          <t>KEC CONTOH 11</t>
        </is>
      </c>
      <c r="H165" s="8" t="inlineStr">
        <is>
          <t>DESA CONTOH 16-010</t>
        </is>
      </c>
      <c r="I165" s="6" t="n">
        <v>2</v>
      </c>
      <c r="J165" s="9" t="n">
        <v>1447376</v>
      </c>
    </row>
    <row r="166">
      <c r="A166" s="8" t="n">
        <v>27</v>
      </c>
      <c r="B166" s="8" t="n">
        <v>2</v>
      </c>
      <c r="C166" s="8" t="n">
        <v>2</v>
      </c>
      <c r="D166" s="8" t="n">
        <v>1</v>
      </c>
      <c r="E166" s="8" t="inlineStr">
        <is>
          <t>BALI</t>
        </is>
      </c>
      <c r="F166" s="8" t="inlineStr">
        <is>
          <t>KAB/KOTA CONTOH 2</t>
        </is>
      </c>
      <c r="G166" s="8" t="inlineStr">
        <is>
          <t>KEC CONTOH 2</t>
        </is>
      </c>
      <c r="H166" s="8" t="inlineStr">
        <is>
          <t>KELURAHAN CONTOH 17-001</t>
        </is>
      </c>
      <c r="I166" s="6" t="n">
        <v>1</v>
      </c>
      <c r="J166" s="9" t="n">
        <v>349015</v>
      </c>
    </row>
    <row r="167">
      <c r="A167" s="8" t="n">
        <v>27</v>
      </c>
      <c r="B167" s="8" t="n">
        <v>3</v>
      </c>
      <c r="C167" s="8" t="n">
        <v>3</v>
      </c>
      <c r="D167" s="8" t="n">
        <v>2</v>
      </c>
      <c r="E167" s="8" t="inlineStr">
        <is>
          <t>BALI</t>
        </is>
      </c>
      <c r="F167" s="8" t="inlineStr">
        <is>
          <t>KAB/KOTA CONTOH 3</t>
        </is>
      </c>
      <c r="G167" s="8" t="inlineStr">
        <is>
          <t>KEC CONTOH 3</t>
        </is>
      </c>
      <c r="H167" s="8" t="inlineStr">
        <is>
          <t>KELURAHAN CONTOH 17-002</t>
        </is>
      </c>
      <c r="I167" s="6" t="n">
        <v>1</v>
      </c>
      <c r="J167" s="9" t="n">
        <v>490803</v>
      </c>
    </row>
    <row r="168">
      <c r="A168" s="8" t="n">
        <v>27</v>
      </c>
      <c r="B168" s="8" t="n">
        <v>4</v>
      </c>
      <c r="C168" s="8" t="n">
        <v>4</v>
      </c>
      <c r="D168" s="8" t="n">
        <v>3</v>
      </c>
      <c r="E168" s="8" t="inlineStr">
        <is>
          <t>BALI</t>
        </is>
      </c>
      <c r="F168" s="8" t="inlineStr">
        <is>
          <t>KAB/KOTA CONTOH 4</t>
        </is>
      </c>
      <c r="G168" s="8" t="inlineStr">
        <is>
          <t>KEC CONTOH 4</t>
        </is>
      </c>
      <c r="H168" s="8" t="inlineStr">
        <is>
          <t>DESA CONTOH 17-003</t>
        </is>
      </c>
      <c r="I168" s="6" t="n">
        <v>2</v>
      </c>
      <c r="J168" s="9" t="n">
        <v>632590</v>
      </c>
    </row>
    <row r="169">
      <c r="A169" s="8" t="n">
        <v>27</v>
      </c>
      <c r="B169" s="8" t="n">
        <v>5</v>
      </c>
      <c r="C169" s="8" t="n">
        <v>5</v>
      </c>
      <c r="D169" s="8" t="n">
        <v>4</v>
      </c>
      <c r="E169" s="8" t="inlineStr">
        <is>
          <t>BALI</t>
        </is>
      </c>
      <c r="F169" s="8" t="inlineStr">
        <is>
          <t>KAB/KOTA CONTOH 5</t>
        </is>
      </c>
      <c r="G169" s="8" t="inlineStr">
        <is>
          <t>KEC CONTOH 5</t>
        </is>
      </c>
      <c r="H169" s="8" t="inlineStr">
        <is>
          <t>DESA CONTOH 17-004</t>
        </is>
      </c>
      <c r="I169" s="6" t="n">
        <v>2</v>
      </c>
      <c r="J169" s="9" t="n">
        <v>327202</v>
      </c>
    </row>
    <row r="170">
      <c r="A170" s="8" t="n">
        <v>27</v>
      </c>
      <c r="B170" s="8" t="n">
        <v>6</v>
      </c>
      <c r="C170" s="8" t="n">
        <v>6</v>
      </c>
      <c r="D170" s="8" t="n">
        <v>5</v>
      </c>
      <c r="E170" s="8" t="inlineStr">
        <is>
          <t>BALI</t>
        </is>
      </c>
      <c r="F170" s="8" t="inlineStr">
        <is>
          <t>KAB/KOTA CONTOH 6</t>
        </is>
      </c>
      <c r="G170" s="8" t="inlineStr">
        <is>
          <t>KEC CONTOH 6</t>
        </is>
      </c>
      <c r="H170" s="8" t="inlineStr">
        <is>
          <t>DESA CONTOH 17-005</t>
        </is>
      </c>
      <c r="I170" s="6" t="n">
        <v>2</v>
      </c>
      <c r="J170" s="9" t="n">
        <v>468989</v>
      </c>
    </row>
    <row r="171">
      <c r="A171" s="8" t="n">
        <v>27</v>
      </c>
      <c r="B171" s="8" t="n">
        <v>7</v>
      </c>
      <c r="C171" s="8" t="n">
        <v>7</v>
      </c>
      <c r="D171" s="8" t="n">
        <v>6</v>
      </c>
      <c r="E171" s="8" t="inlineStr">
        <is>
          <t>BALI</t>
        </is>
      </c>
      <c r="F171" s="8" t="inlineStr">
        <is>
          <t>KAB/KOTA CONTOH 7</t>
        </is>
      </c>
      <c r="G171" s="8" t="inlineStr">
        <is>
          <t>KEC CONTOH 7</t>
        </is>
      </c>
      <c r="H171" s="8" t="inlineStr">
        <is>
          <t>DESA CONTOH 17-006</t>
        </is>
      </c>
      <c r="I171" s="6" t="n">
        <v>2</v>
      </c>
      <c r="J171" s="9" t="n">
        <v>610777</v>
      </c>
    </row>
    <row r="172">
      <c r="A172" s="8" t="n">
        <v>27</v>
      </c>
      <c r="B172" s="8" t="n">
        <v>8</v>
      </c>
      <c r="C172" s="8" t="n">
        <v>8</v>
      </c>
      <c r="D172" s="8" t="n">
        <v>7</v>
      </c>
      <c r="E172" s="8" t="inlineStr">
        <is>
          <t>BALI</t>
        </is>
      </c>
      <c r="F172" s="8" t="inlineStr">
        <is>
          <t>KAB/KOTA CONTOH 8</t>
        </is>
      </c>
      <c r="G172" s="8" t="inlineStr">
        <is>
          <t>KEC CONTOH 8</t>
        </is>
      </c>
      <c r="H172" s="8" t="inlineStr">
        <is>
          <t>DESA CONTOH 17-007</t>
        </is>
      </c>
      <c r="I172" s="6" t="n">
        <v>2</v>
      </c>
      <c r="J172" s="9" t="n">
        <v>752565</v>
      </c>
    </row>
    <row r="173">
      <c r="A173" s="8" t="n">
        <v>27</v>
      </c>
      <c r="B173" s="8" t="n">
        <v>9</v>
      </c>
      <c r="C173" s="8" t="n">
        <v>9</v>
      </c>
      <c r="D173" s="8" t="n">
        <v>8</v>
      </c>
      <c r="E173" s="8" t="inlineStr">
        <is>
          <t>BALI</t>
        </is>
      </c>
      <c r="F173" s="8" t="inlineStr">
        <is>
          <t>KAB/KOTA CONTOH 9</t>
        </is>
      </c>
      <c r="G173" s="8" t="inlineStr">
        <is>
          <t>KEC CONTOH 9</t>
        </is>
      </c>
      <c r="H173" s="8" t="inlineStr">
        <is>
          <t>DESA CONTOH 17-008</t>
        </is>
      </c>
      <c r="I173" s="6" t="n">
        <v>2</v>
      </c>
      <c r="J173" s="9" t="n">
        <v>447176</v>
      </c>
    </row>
    <row r="174">
      <c r="A174" s="8" t="n">
        <v>28</v>
      </c>
      <c r="B174" s="8" t="n">
        <v>2</v>
      </c>
      <c r="C174" s="8" t="n">
        <v>2</v>
      </c>
      <c r="D174" s="8" t="n">
        <v>1</v>
      </c>
      <c r="E174" s="8" t="inlineStr">
        <is>
          <t>NUSA TENGGARA BARAT</t>
        </is>
      </c>
      <c r="F174" s="8" t="inlineStr">
        <is>
          <t>KAB/KOTA CONTOH 2</t>
        </is>
      </c>
      <c r="G174" s="8" t="inlineStr">
        <is>
          <t>KEC CONTOH 2</t>
        </is>
      </c>
      <c r="H174" s="8" t="inlineStr">
        <is>
          <t>KELURAHAN CONTOH 18-001</t>
        </is>
      </c>
      <c r="I174" s="6" t="n">
        <v>1</v>
      </c>
      <c r="J174" s="9" t="n">
        <v>420420</v>
      </c>
    </row>
    <row r="175">
      <c r="A175" s="8" t="n">
        <v>28</v>
      </c>
      <c r="B175" s="8" t="n">
        <v>3</v>
      </c>
      <c r="C175" s="8" t="n">
        <v>3</v>
      </c>
      <c r="D175" s="8" t="n">
        <v>2</v>
      </c>
      <c r="E175" s="8" t="inlineStr">
        <is>
          <t>NUSA TENGGARA BARAT</t>
        </is>
      </c>
      <c r="F175" s="8" t="inlineStr">
        <is>
          <t>KAB/KOTA CONTOH 3</t>
        </is>
      </c>
      <c r="G175" s="8" t="inlineStr">
        <is>
          <t>KEC CONTOH 3</t>
        </is>
      </c>
      <c r="H175" s="8" t="inlineStr">
        <is>
          <t>KELURAHAN CONTOH 18-002</t>
        </is>
      </c>
      <c r="I175" s="6" t="n">
        <v>1</v>
      </c>
      <c r="J175" s="9" t="n">
        <v>560560</v>
      </c>
    </row>
    <row r="176">
      <c r="A176" s="8" t="n">
        <v>28</v>
      </c>
      <c r="B176" s="8" t="n">
        <v>4</v>
      </c>
      <c r="C176" s="8" t="n">
        <v>4</v>
      </c>
      <c r="D176" s="8" t="n">
        <v>3</v>
      </c>
      <c r="E176" s="8" t="inlineStr">
        <is>
          <t>NUSA TENGGARA BARAT</t>
        </is>
      </c>
      <c r="F176" s="8" t="inlineStr">
        <is>
          <t>KAB/KOTA CONTOH 4</t>
        </is>
      </c>
      <c r="G176" s="8" t="inlineStr">
        <is>
          <t>KEC CONTOH 4</t>
        </is>
      </c>
      <c r="H176" s="8" t="inlineStr">
        <is>
          <t>KELURAHAN CONTOH 18-003</t>
        </is>
      </c>
      <c r="I176" s="6" t="n">
        <v>1</v>
      </c>
      <c r="J176" s="9" t="n">
        <v>700699</v>
      </c>
    </row>
    <row r="177">
      <c r="A177" s="8" t="n">
        <v>28</v>
      </c>
      <c r="B177" s="8" t="n">
        <v>5</v>
      </c>
      <c r="C177" s="8" t="n">
        <v>5</v>
      </c>
      <c r="D177" s="8" t="n">
        <v>4</v>
      </c>
      <c r="E177" s="8" t="inlineStr">
        <is>
          <t>NUSA TENGGARA BARAT</t>
        </is>
      </c>
      <c r="F177" s="8" t="inlineStr">
        <is>
          <t>KAB/KOTA CONTOH 5</t>
        </is>
      </c>
      <c r="G177" s="8" t="inlineStr">
        <is>
          <t>KEC CONTOH 5</t>
        </is>
      </c>
      <c r="H177" s="8" t="inlineStr">
        <is>
          <t>DESA CONTOH 18-004</t>
        </is>
      </c>
      <c r="I177" s="6" t="n">
        <v>2</v>
      </c>
      <c r="J177" s="9" t="n">
        <v>398860</v>
      </c>
    </row>
    <row r="178">
      <c r="A178" s="8" t="n">
        <v>28</v>
      </c>
      <c r="B178" s="8" t="n">
        <v>6</v>
      </c>
      <c r="C178" s="8" t="n">
        <v>6</v>
      </c>
      <c r="D178" s="8" t="n">
        <v>5</v>
      </c>
      <c r="E178" s="8" t="inlineStr">
        <is>
          <t>NUSA TENGGARA BARAT</t>
        </is>
      </c>
      <c r="F178" s="8" t="inlineStr">
        <is>
          <t>KAB/KOTA CONTOH 6</t>
        </is>
      </c>
      <c r="G178" s="8" t="inlineStr">
        <is>
          <t>KEC CONTOH 6</t>
        </is>
      </c>
      <c r="H178" s="8" t="inlineStr">
        <is>
          <t>DESA CONTOH 18-005</t>
        </is>
      </c>
      <c r="I178" s="6" t="n">
        <v>2</v>
      </c>
      <c r="J178" s="9" t="n">
        <v>539000</v>
      </c>
    </row>
    <row r="179">
      <c r="A179" s="8" t="n">
        <v>28</v>
      </c>
      <c r="B179" s="8" t="n">
        <v>7</v>
      </c>
      <c r="C179" s="8" t="n">
        <v>7</v>
      </c>
      <c r="D179" s="8" t="n">
        <v>6</v>
      </c>
      <c r="E179" s="8" t="inlineStr">
        <is>
          <t>NUSA TENGGARA BARAT</t>
        </is>
      </c>
      <c r="F179" s="8" t="inlineStr">
        <is>
          <t>KAB/KOTA CONTOH 7</t>
        </is>
      </c>
      <c r="G179" s="8" t="inlineStr">
        <is>
          <t>KEC CONTOH 7</t>
        </is>
      </c>
      <c r="H179" s="8" t="inlineStr">
        <is>
          <t>DESA CONTOH 18-006</t>
        </is>
      </c>
      <c r="I179" s="6" t="n">
        <v>2</v>
      </c>
      <c r="J179" s="9" t="n">
        <v>679140</v>
      </c>
    </row>
    <row r="180">
      <c r="A180" s="8" t="n">
        <v>28</v>
      </c>
      <c r="B180" s="8" t="n">
        <v>8</v>
      </c>
      <c r="C180" s="8" t="n">
        <v>8</v>
      </c>
      <c r="D180" s="8" t="n">
        <v>7</v>
      </c>
      <c r="E180" s="8" t="inlineStr">
        <is>
          <t>NUSA TENGGARA BARAT</t>
        </is>
      </c>
      <c r="F180" s="8" t="inlineStr">
        <is>
          <t>KAB/KOTA CONTOH 8</t>
        </is>
      </c>
      <c r="G180" s="8" t="inlineStr">
        <is>
          <t>KEC CONTOH 8</t>
        </is>
      </c>
      <c r="H180" s="8" t="inlineStr">
        <is>
          <t>DESA CONTOH 18-007</t>
        </is>
      </c>
      <c r="I180" s="6" t="n">
        <v>2</v>
      </c>
      <c r="J180" s="9" t="n">
        <v>377300</v>
      </c>
    </row>
    <row r="181">
      <c r="A181" s="8" t="n">
        <v>28</v>
      </c>
      <c r="B181" s="8" t="n">
        <v>9</v>
      </c>
      <c r="C181" s="8" t="n">
        <v>9</v>
      </c>
      <c r="D181" s="8" t="n">
        <v>8</v>
      </c>
      <c r="E181" s="8" t="inlineStr">
        <is>
          <t>NUSA TENGGARA BARAT</t>
        </is>
      </c>
      <c r="F181" s="8" t="inlineStr">
        <is>
          <t>KAB/KOTA CONTOH 9</t>
        </is>
      </c>
      <c r="G181" s="8" t="inlineStr">
        <is>
          <t>KEC CONTOH 9</t>
        </is>
      </c>
      <c r="H181" s="8" t="inlineStr">
        <is>
          <t>DESA CONTOH 18-008</t>
        </is>
      </c>
      <c r="I181" s="6" t="n">
        <v>2</v>
      </c>
      <c r="J181" s="9" t="n">
        <v>517440</v>
      </c>
    </row>
    <row r="182">
      <c r="A182" s="8" t="n">
        <v>28</v>
      </c>
      <c r="B182" s="8" t="n">
        <v>1</v>
      </c>
      <c r="C182" s="8" t="n">
        <v>10</v>
      </c>
      <c r="D182" s="8" t="n">
        <v>9</v>
      </c>
      <c r="E182" s="8" t="inlineStr">
        <is>
          <t>NUSA TENGGARA BARAT</t>
        </is>
      </c>
      <c r="F182" s="8" t="inlineStr">
        <is>
          <t>KAB/KOTA CONTOH 1</t>
        </is>
      </c>
      <c r="G182" s="8" t="inlineStr">
        <is>
          <t>KEC CONTOH 10</t>
        </is>
      </c>
      <c r="H182" s="8" t="inlineStr">
        <is>
          <t>DESA CONTOH 18-009</t>
        </is>
      </c>
      <c r="I182" s="6" t="n">
        <v>2</v>
      </c>
      <c r="J182" s="9" t="n">
        <v>657580</v>
      </c>
    </row>
    <row r="183">
      <c r="A183" s="8" t="n">
        <v>28</v>
      </c>
      <c r="B183" s="8" t="n">
        <v>2</v>
      </c>
      <c r="C183" s="8" t="n">
        <v>11</v>
      </c>
      <c r="D183" s="8" t="n">
        <v>10</v>
      </c>
      <c r="E183" s="8" t="inlineStr">
        <is>
          <t>NUSA TENGGARA BARAT</t>
        </is>
      </c>
      <c r="F183" s="8" t="inlineStr">
        <is>
          <t>KAB/KOTA CONTOH 2</t>
        </is>
      </c>
      <c r="G183" s="8" t="inlineStr">
        <is>
          <t>KEC CONTOH 11</t>
        </is>
      </c>
      <c r="H183" s="8" t="inlineStr">
        <is>
          <t>DESA CONTOH 18-010</t>
        </is>
      </c>
      <c r="I183" s="6" t="n">
        <v>2</v>
      </c>
      <c r="J183" s="9" t="n">
        <v>355739</v>
      </c>
    </row>
    <row r="184">
      <c r="A184" s="8" t="n">
        <v>29</v>
      </c>
      <c r="B184" s="8" t="n">
        <v>2</v>
      </c>
      <c r="C184" s="8" t="n">
        <v>2</v>
      </c>
      <c r="D184" s="8" t="n">
        <v>1</v>
      </c>
      <c r="E184" s="8" t="inlineStr">
        <is>
          <t>NUSA TENGGARA TIMUR</t>
        </is>
      </c>
      <c r="F184" s="8" t="inlineStr">
        <is>
          <t>KAB/KOTA CONTOH 2</t>
        </is>
      </c>
      <c r="G184" s="8" t="inlineStr">
        <is>
          <t>KEC CONTOH 2</t>
        </is>
      </c>
      <c r="H184" s="8" t="inlineStr">
        <is>
          <t>KELURAHAN CONTOH 19-001</t>
        </is>
      </c>
      <c r="I184" s="6" t="n">
        <v>1</v>
      </c>
      <c r="J184" s="9" t="n">
        <v>413059</v>
      </c>
    </row>
    <row r="185">
      <c r="A185" s="8" t="n">
        <v>29</v>
      </c>
      <c r="B185" s="8" t="n">
        <v>3</v>
      </c>
      <c r="C185" s="8" t="n">
        <v>3</v>
      </c>
      <c r="D185" s="8" t="n">
        <v>2</v>
      </c>
      <c r="E185" s="8" t="inlineStr">
        <is>
          <t>NUSA TENGGARA TIMUR</t>
        </is>
      </c>
      <c r="F185" s="8" t="inlineStr">
        <is>
          <t>KAB/KOTA CONTOH 3</t>
        </is>
      </c>
      <c r="G185" s="8" t="inlineStr">
        <is>
          <t>KEC CONTOH 3</t>
        </is>
      </c>
      <c r="H185" s="8" t="inlineStr">
        <is>
          <t>KELURAHAN CONTOH 19-002</t>
        </is>
      </c>
      <c r="I185" s="6" t="n">
        <v>1</v>
      </c>
      <c r="J185" s="9" t="n">
        <v>529794</v>
      </c>
    </row>
    <row r="186">
      <c r="A186" s="8" t="n">
        <v>29</v>
      </c>
      <c r="B186" s="8" t="n">
        <v>4</v>
      </c>
      <c r="C186" s="8" t="n">
        <v>4</v>
      </c>
      <c r="D186" s="8" t="n">
        <v>3</v>
      </c>
      <c r="E186" s="8" t="inlineStr">
        <is>
          <t>NUSA TENGGARA TIMUR</t>
        </is>
      </c>
      <c r="F186" s="8" t="inlineStr">
        <is>
          <t>KAB/KOTA CONTOH 4</t>
        </is>
      </c>
      <c r="G186" s="8" t="inlineStr">
        <is>
          <t>KEC CONTOH 4</t>
        </is>
      </c>
      <c r="H186" s="8" t="inlineStr">
        <is>
          <t>KELURAHAN CONTOH 19-003</t>
        </is>
      </c>
      <c r="I186" s="6" t="n">
        <v>1</v>
      </c>
      <c r="J186" s="9" t="n">
        <v>278366</v>
      </c>
    </row>
    <row r="187">
      <c r="A187" s="8" t="n">
        <v>29</v>
      </c>
      <c r="B187" s="8" t="n">
        <v>5</v>
      </c>
      <c r="C187" s="8" t="n">
        <v>5</v>
      </c>
      <c r="D187" s="8" t="n">
        <v>4</v>
      </c>
      <c r="E187" s="8" t="inlineStr">
        <is>
          <t>NUSA TENGGARA TIMUR</t>
        </is>
      </c>
      <c r="F187" s="8" t="inlineStr">
        <is>
          <t>KAB/KOTA CONTOH 5</t>
        </is>
      </c>
      <c r="G187" s="8" t="inlineStr">
        <is>
          <t>KEC CONTOH 5</t>
        </is>
      </c>
      <c r="H187" s="8" t="inlineStr">
        <is>
          <t>KELURAHAN CONTOH 19-004</t>
        </is>
      </c>
      <c r="I187" s="6" t="n">
        <v>1</v>
      </c>
      <c r="J187" s="9" t="n">
        <v>395100</v>
      </c>
    </row>
    <row r="188">
      <c r="A188" s="8" t="n">
        <v>29</v>
      </c>
      <c r="B188" s="8" t="n">
        <v>6</v>
      </c>
      <c r="C188" s="8" t="n">
        <v>6</v>
      </c>
      <c r="D188" s="8" t="n">
        <v>5</v>
      </c>
      <c r="E188" s="8" t="inlineStr">
        <is>
          <t>NUSA TENGGARA TIMUR</t>
        </is>
      </c>
      <c r="F188" s="8" t="inlineStr">
        <is>
          <t>KAB/KOTA CONTOH 6</t>
        </is>
      </c>
      <c r="G188" s="8" t="inlineStr">
        <is>
          <t>KEC CONTOH 6</t>
        </is>
      </c>
      <c r="H188" s="8" t="inlineStr">
        <is>
          <t>DESA CONTOH 19-005</t>
        </is>
      </c>
      <c r="I188" s="6" t="n">
        <v>2</v>
      </c>
      <c r="J188" s="9" t="n">
        <v>511834</v>
      </c>
    </row>
    <row r="189">
      <c r="A189" s="8" t="n">
        <v>29</v>
      </c>
      <c r="B189" s="8" t="n">
        <v>7</v>
      </c>
      <c r="C189" s="8" t="n">
        <v>7</v>
      </c>
      <c r="D189" s="8" t="n">
        <v>6</v>
      </c>
      <c r="E189" s="8" t="inlineStr">
        <is>
          <t>NUSA TENGGARA TIMUR</t>
        </is>
      </c>
      <c r="F189" s="8" t="inlineStr">
        <is>
          <t>KAB/KOTA CONTOH 7</t>
        </is>
      </c>
      <c r="G189" s="8" t="inlineStr">
        <is>
          <t>KEC CONTOH 7</t>
        </is>
      </c>
      <c r="H189" s="8" t="inlineStr">
        <is>
          <t>DESA CONTOH 19-006</t>
        </is>
      </c>
      <c r="I189" s="6" t="n">
        <v>2</v>
      </c>
      <c r="J189" s="9" t="n">
        <v>628569</v>
      </c>
    </row>
    <row r="190">
      <c r="A190" s="8" t="n">
        <v>29</v>
      </c>
      <c r="B190" s="8" t="n">
        <v>8</v>
      </c>
      <c r="C190" s="8" t="n">
        <v>8</v>
      </c>
      <c r="D190" s="8" t="n">
        <v>7</v>
      </c>
      <c r="E190" s="8" t="inlineStr">
        <is>
          <t>NUSA TENGGARA TIMUR</t>
        </is>
      </c>
      <c r="F190" s="8" t="inlineStr">
        <is>
          <t>KAB/KOTA CONTOH 8</t>
        </is>
      </c>
      <c r="G190" s="8" t="inlineStr">
        <is>
          <t>KEC CONTOH 8</t>
        </is>
      </c>
      <c r="H190" s="8" t="inlineStr">
        <is>
          <t>DESA CONTOH 19-007</t>
        </is>
      </c>
      <c r="I190" s="6" t="n">
        <v>2</v>
      </c>
      <c r="J190" s="9" t="n">
        <v>377141</v>
      </c>
    </row>
    <row r="191">
      <c r="A191" s="8" t="n">
        <v>29</v>
      </c>
      <c r="B191" s="8" t="n">
        <v>9</v>
      </c>
      <c r="C191" s="8" t="n">
        <v>9</v>
      </c>
      <c r="D191" s="8" t="n">
        <v>8</v>
      </c>
      <c r="E191" s="8" t="inlineStr">
        <is>
          <t>NUSA TENGGARA TIMUR</t>
        </is>
      </c>
      <c r="F191" s="8" t="inlineStr">
        <is>
          <t>KAB/KOTA CONTOH 9</t>
        </is>
      </c>
      <c r="G191" s="8" t="inlineStr">
        <is>
          <t>KEC CONTOH 9</t>
        </is>
      </c>
      <c r="H191" s="8" t="inlineStr">
        <is>
          <t>DESA CONTOH 19-008</t>
        </is>
      </c>
      <c r="I191" s="6" t="n">
        <v>2</v>
      </c>
      <c r="J191" s="9" t="n">
        <v>493875</v>
      </c>
    </row>
    <row r="192">
      <c r="A192" s="8" t="n">
        <v>29</v>
      </c>
      <c r="B192" s="8" t="n">
        <v>1</v>
      </c>
      <c r="C192" s="8" t="n">
        <v>10</v>
      </c>
      <c r="D192" s="8" t="n">
        <v>9</v>
      </c>
      <c r="E192" s="8" t="inlineStr">
        <is>
          <t>NUSA TENGGARA TIMUR</t>
        </is>
      </c>
      <c r="F192" s="8" t="inlineStr">
        <is>
          <t>KAB/KOTA CONTOH 1</t>
        </is>
      </c>
      <c r="G192" s="8" t="inlineStr">
        <is>
          <t>KEC CONTOH 10</t>
        </is>
      </c>
      <c r="H192" s="8" t="inlineStr">
        <is>
          <t>DESA CONTOH 19-009</t>
        </is>
      </c>
      <c r="I192" s="6" t="n">
        <v>2</v>
      </c>
      <c r="J192" s="9" t="n">
        <v>610610</v>
      </c>
    </row>
    <row r="193">
      <c r="A193" s="8" t="n">
        <v>29</v>
      </c>
      <c r="B193" s="8" t="n">
        <v>2</v>
      </c>
      <c r="C193" s="8" t="n">
        <v>11</v>
      </c>
      <c r="D193" s="8" t="n">
        <v>10</v>
      </c>
      <c r="E193" s="8" t="inlineStr">
        <is>
          <t>NUSA TENGGARA TIMUR</t>
        </is>
      </c>
      <c r="F193" s="8" t="inlineStr">
        <is>
          <t>KAB/KOTA CONTOH 2</t>
        </is>
      </c>
      <c r="G193" s="8" t="inlineStr">
        <is>
          <t>KEC CONTOH 11</t>
        </is>
      </c>
      <c r="H193" s="8" t="inlineStr">
        <is>
          <t>DESA CONTOH 19-010</t>
        </is>
      </c>
      <c r="I193" s="6" t="n">
        <v>2</v>
      </c>
      <c r="J193" s="9" t="n">
        <v>359182</v>
      </c>
    </row>
    <row r="194">
      <c r="A194" s="8" t="n">
        <v>29</v>
      </c>
      <c r="B194" s="8" t="n">
        <v>3</v>
      </c>
      <c r="C194" s="8" t="n">
        <v>12</v>
      </c>
      <c r="D194" s="8" t="n">
        <v>11</v>
      </c>
      <c r="E194" s="8" t="inlineStr">
        <is>
          <t>NUSA TENGGARA TIMUR</t>
        </is>
      </c>
      <c r="F194" s="8" t="inlineStr">
        <is>
          <t>KAB/KOTA CONTOH 3</t>
        </is>
      </c>
      <c r="G194" s="8" t="inlineStr">
        <is>
          <t>KEC CONTOH 12</t>
        </is>
      </c>
      <c r="H194" s="8" t="inlineStr">
        <is>
          <t>DESA CONTOH 19-011</t>
        </is>
      </c>
      <c r="I194" s="6" t="n">
        <v>2</v>
      </c>
      <c r="J194" s="9" t="n">
        <v>475916</v>
      </c>
    </row>
    <row r="195">
      <c r="A195" s="8" t="n">
        <v>29</v>
      </c>
      <c r="B195" s="8" t="n">
        <v>4</v>
      </c>
      <c r="C195" s="8" t="n">
        <v>13</v>
      </c>
      <c r="D195" s="8" t="n">
        <v>12</v>
      </c>
      <c r="E195" s="8" t="inlineStr">
        <is>
          <t>NUSA TENGGARA TIMUR</t>
        </is>
      </c>
      <c r="F195" s="8" t="inlineStr">
        <is>
          <t>KAB/KOTA CONTOH 4</t>
        </is>
      </c>
      <c r="G195" s="8" t="inlineStr">
        <is>
          <t>KEC CONTOH 13</t>
        </is>
      </c>
      <c r="H195" s="8" t="inlineStr">
        <is>
          <t>DESA CONTOH 19-012</t>
        </is>
      </c>
      <c r="I195" s="6" t="n">
        <v>2</v>
      </c>
      <c r="J195" s="9" t="n">
        <v>592650</v>
      </c>
    </row>
    <row r="196">
      <c r="A196" s="8" t="n">
        <v>30</v>
      </c>
      <c r="B196" s="8" t="n">
        <v>2</v>
      </c>
      <c r="C196" s="8" t="n">
        <v>2</v>
      </c>
      <c r="D196" s="8" t="n">
        <v>1</v>
      </c>
      <c r="E196" s="8" t="inlineStr">
        <is>
          <t>KALIMANTAN BARAT</t>
        </is>
      </c>
      <c r="F196" s="8" t="inlineStr">
        <is>
          <t>KAB/KOTA CONTOH 2</t>
        </is>
      </c>
      <c r="G196" s="8" t="inlineStr">
        <is>
          <t>KEC CONTOH 2</t>
        </is>
      </c>
      <c r="H196" s="8" t="inlineStr">
        <is>
          <t>KELURAHAN CONTOH 20-001</t>
        </is>
      </c>
      <c r="I196" s="6" t="n">
        <v>1</v>
      </c>
      <c r="J196" s="9" t="n">
        <v>414217</v>
      </c>
    </row>
    <row r="197">
      <c r="A197" s="8" t="n">
        <v>30</v>
      </c>
      <c r="B197" s="8" t="n">
        <v>3</v>
      </c>
      <c r="C197" s="8" t="n">
        <v>3</v>
      </c>
      <c r="D197" s="8" t="n">
        <v>2</v>
      </c>
      <c r="E197" s="8" t="inlineStr">
        <is>
          <t>KALIMANTAN BARAT</t>
        </is>
      </c>
      <c r="F197" s="8" t="inlineStr">
        <is>
          <t>KAB/KOTA CONTOH 3</t>
        </is>
      </c>
      <c r="G197" s="8" t="inlineStr">
        <is>
          <t>KEC CONTOH 3</t>
        </is>
      </c>
      <c r="H197" s="8" t="inlineStr">
        <is>
          <t>KELURAHAN CONTOH 20-002</t>
        </is>
      </c>
      <c r="I197" s="6" t="n">
        <v>1</v>
      </c>
      <c r="J197" s="9" t="n">
        <v>515817</v>
      </c>
    </row>
    <row r="198">
      <c r="A198" s="8" t="n">
        <v>30</v>
      </c>
      <c r="B198" s="8" t="n">
        <v>4</v>
      </c>
      <c r="C198" s="8" t="n">
        <v>4</v>
      </c>
      <c r="D198" s="8" t="n">
        <v>3</v>
      </c>
      <c r="E198" s="8" t="inlineStr">
        <is>
          <t>KALIMANTAN BARAT</t>
        </is>
      </c>
      <c r="F198" s="8" t="inlineStr">
        <is>
          <t>KAB/KOTA CONTOH 4</t>
        </is>
      </c>
      <c r="G198" s="8" t="inlineStr">
        <is>
          <t>KEC CONTOH 4</t>
        </is>
      </c>
      <c r="H198" s="8" t="inlineStr">
        <is>
          <t>KELURAHAN CONTOH 20-003</t>
        </is>
      </c>
      <c r="I198" s="6" t="n">
        <v>1</v>
      </c>
      <c r="J198" s="9" t="n">
        <v>296985</v>
      </c>
    </row>
    <row r="199">
      <c r="A199" s="8" t="n">
        <v>30</v>
      </c>
      <c r="B199" s="8" t="n">
        <v>5</v>
      </c>
      <c r="C199" s="8" t="n">
        <v>5</v>
      </c>
      <c r="D199" s="8" t="n">
        <v>4</v>
      </c>
      <c r="E199" s="8" t="inlineStr">
        <is>
          <t>KALIMANTAN BARAT</t>
        </is>
      </c>
      <c r="F199" s="8" t="inlineStr">
        <is>
          <t>KAB/KOTA CONTOH 5</t>
        </is>
      </c>
      <c r="G199" s="8" t="inlineStr">
        <is>
          <t>KEC CONTOH 5</t>
        </is>
      </c>
      <c r="H199" s="8" t="inlineStr">
        <is>
          <t>KELURAHAN CONTOH 20-004</t>
        </is>
      </c>
      <c r="I199" s="6" t="n">
        <v>1</v>
      </c>
      <c r="J199" s="9" t="n">
        <v>398586</v>
      </c>
    </row>
    <row r="200">
      <c r="A200" s="8" t="n">
        <v>30</v>
      </c>
      <c r="B200" s="8" t="n">
        <v>6</v>
      </c>
      <c r="C200" s="8" t="n">
        <v>6</v>
      </c>
      <c r="D200" s="8" t="n">
        <v>5</v>
      </c>
      <c r="E200" s="8" t="inlineStr">
        <is>
          <t>KALIMANTAN BARAT</t>
        </is>
      </c>
      <c r="F200" s="8" t="inlineStr">
        <is>
          <t>KAB/KOTA CONTOH 6</t>
        </is>
      </c>
      <c r="G200" s="8" t="inlineStr">
        <is>
          <t>KEC CONTOH 6</t>
        </is>
      </c>
      <c r="H200" s="8" t="inlineStr">
        <is>
          <t>KELURAHAN CONTOH 20-005</t>
        </is>
      </c>
      <c r="I200" s="6" t="n">
        <v>1</v>
      </c>
      <c r="J200" s="9" t="n">
        <v>500186</v>
      </c>
    </row>
    <row r="201">
      <c r="A201" s="8" t="n">
        <v>30</v>
      </c>
      <c r="B201" s="8" t="n">
        <v>7</v>
      </c>
      <c r="C201" s="8" t="n">
        <v>7</v>
      </c>
      <c r="D201" s="8" t="n">
        <v>6</v>
      </c>
      <c r="E201" s="8" t="inlineStr">
        <is>
          <t>KALIMANTAN BARAT</t>
        </is>
      </c>
      <c r="F201" s="8" t="inlineStr">
        <is>
          <t>KAB/KOTA CONTOH 7</t>
        </is>
      </c>
      <c r="G201" s="8" t="inlineStr">
        <is>
          <t>KEC CONTOH 7</t>
        </is>
      </c>
      <c r="H201" s="8" t="inlineStr">
        <is>
          <t>DESA CONTOH 20-006</t>
        </is>
      </c>
      <c r="I201" s="6" t="n">
        <v>2</v>
      </c>
      <c r="J201" s="9" t="n">
        <v>281355</v>
      </c>
    </row>
    <row r="202">
      <c r="A202" s="8" t="n">
        <v>30</v>
      </c>
      <c r="B202" s="8" t="n">
        <v>8</v>
      </c>
      <c r="C202" s="8" t="n">
        <v>8</v>
      </c>
      <c r="D202" s="8" t="n">
        <v>7</v>
      </c>
      <c r="E202" s="8" t="inlineStr">
        <is>
          <t>KALIMANTAN BARAT</t>
        </is>
      </c>
      <c r="F202" s="8" t="inlineStr">
        <is>
          <t>KAB/KOTA CONTOH 8</t>
        </is>
      </c>
      <c r="G202" s="8" t="inlineStr">
        <is>
          <t>KEC CONTOH 8</t>
        </is>
      </c>
      <c r="H202" s="8" t="inlineStr">
        <is>
          <t>DESA CONTOH 20-007</t>
        </is>
      </c>
      <c r="I202" s="6" t="n">
        <v>2</v>
      </c>
      <c r="J202" s="9" t="n">
        <v>382955</v>
      </c>
    </row>
    <row r="203">
      <c r="A203" s="8" t="n">
        <v>30</v>
      </c>
      <c r="B203" s="8" t="n">
        <v>9</v>
      </c>
      <c r="C203" s="8" t="n">
        <v>9</v>
      </c>
      <c r="D203" s="8" t="n">
        <v>8</v>
      </c>
      <c r="E203" s="8" t="inlineStr">
        <is>
          <t>KALIMANTAN BARAT</t>
        </is>
      </c>
      <c r="F203" s="8" t="inlineStr">
        <is>
          <t>KAB/KOTA CONTOH 9</t>
        </is>
      </c>
      <c r="G203" s="8" t="inlineStr">
        <is>
          <t>KEC CONTOH 9</t>
        </is>
      </c>
      <c r="H203" s="8" t="inlineStr">
        <is>
          <t>DESA CONTOH 20-008</t>
        </is>
      </c>
      <c r="I203" s="6" t="n">
        <v>2</v>
      </c>
      <c r="J203" s="9" t="n">
        <v>484556</v>
      </c>
    </row>
    <row r="204">
      <c r="A204" s="8" t="n">
        <v>30</v>
      </c>
      <c r="B204" s="8" t="n">
        <v>1</v>
      </c>
      <c r="C204" s="8" t="n">
        <v>10</v>
      </c>
      <c r="D204" s="8" t="n">
        <v>9</v>
      </c>
      <c r="E204" s="8" t="inlineStr">
        <is>
          <t>KALIMANTAN BARAT</t>
        </is>
      </c>
      <c r="F204" s="8" t="inlineStr">
        <is>
          <t>KAB/KOTA CONTOH 1</t>
        </is>
      </c>
      <c r="G204" s="8" t="inlineStr">
        <is>
          <t>KEC CONTOH 10</t>
        </is>
      </c>
      <c r="H204" s="8" t="inlineStr">
        <is>
          <t>DESA CONTOH 20-009</t>
        </is>
      </c>
      <c r="I204" s="6" t="n">
        <v>2</v>
      </c>
      <c r="J204" s="9" t="n">
        <v>265724</v>
      </c>
    </row>
    <row r="205">
      <c r="A205" s="8" t="n">
        <v>30</v>
      </c>
      <c r="B205" s="8" t="n">
        <v>2</v>
      </c>
      <c r="C205" s="8" t="n">
        <v>11</v>
      </c>
      <c r="D205" s="8" t="n">
        <v>10</v>
      </c>
      <c r="E205" s="8" t="inlineStr">
        <is>
          <t>KALIMANTAN BARAT</t>
        </is>
      </c>
      <c r="F205" s="8" t="inlineStr">
        <is>
          <t>KAB/KOTA CONTOH 2</t>
        </is>
      </c>
      <c r="G205" s="8" t="inlineStr">
        <is>
          <t>KEC CONTOH 11</t>
        </is>
      </c>
      <c r="H205" s="8" t="inlineStr">
        <is>
          <t>DESA CONTOH 20-010</t>
        </is>
      </c>
      <c r="I205" s="6" t="n">
        <v>2</v>
      </c>
      <c r="J205" s="9" t="n">
        <v>367324</v>
      </c>
    </row>
    <row r="206">
      <c r="A206" s="8" t="n">
        <v>30</v>
      </c>
      <c r="B206" s="8" t="n">
        <v>3</v>
      </c>
      <c r="C206" s="8" t="n">
        <v>12</v>
      </c>
      <c r="D206" s="8" t="n">
        <v>11</v>
      </c>
      <c r="E206" s="8" t="inlineStr">
        <is>
          <t>KALIMANTAN BARAT</t>
        </is>
      </c>
      <c r="F206" s="8" t="inlineStr">
        <is>
          <t>KAB/KOTA CONTOH 3</t>
        </is>
      </c>
      <c r="G206" s="8" t="inlineStr">
        <is>
          <t>KEC CONTOH 12</t>
        </is>
      </c>
      <c r="H206" s="8" t="inlineStr">
        <is>
          <t>DESA CONTOH 20-011</t>
        </is>
      </c>
      <c r="I206" s="6" t="n">
        <v>2</v>
      </c>
      <c r="J206" s="9" t="n">
        <v>468925</v>
      </c>
    </row>
    <row r="207">
      <c r="A207" s="8" t="n">
        <v>30</v>
      </c>
      <c r="B207" s="8" t="n">
        <v>4</v>
      </c>
      <c r="C207" s="8" t="n">
        <v>13</v>
      </c>
      <c r="D207" s="8" t="n">
        <v>12</v>
      </c>
      <c r="E207" s="8" t="inlineStr">
        <is>
          <t>KALIMANTAN BARAT</t>
        </is>
      </c>
      <c r="F207" s="8" t="inlineStr">
        <is>
          <t>KAB/KOTA CONTOH 4</t>
        </is>
      </c>
      <c r="G207" s="8" t="inlineStr">
        <is>
          <t>KEC CONTOH 13</t>
        </is>
      </c>
      <c r="H207" s="8" t="inlineStr">
        <is>
          <t>DESA CONTOH 20-012</t>
        </is>
      </c>
      <c r="I207" s="6" t="n">
        <v>2</v>
      </c>
      <c r="J207" s="9" t="n">
        <v>250093</v>
      </c>
    </row>
    <row r="208">
      <c r="A208" s="8" t="n">
        <v>30</v>
      </c>
      <c r="B208" s="8" t="n">
        <v>5</v>
      </c>
      <c r="C208" s="8" t="n">
        <v>14</v>
      </c>
      <c r="D208" s="8" t="n">
        <v>13</v>
      </c>
      <c r="E208" s="8" t="inlineStr">
        <is>
          <t>KALIMANTAN BARAT</t>
        </is>
      </c>
      <c r="F208" s="8" t="inlineStr">
        <is>
          <t>KAB/KOTA CONTOH 5</t>
        </is>
      </c>
      <c r="G208" s="8" t="inlineStr">
        <is>
          <t>KEC CONTOH 14</t>
        </is>
      </c>
      <c r="H208" s="8" t="inlineStr">
        <is>
          <t>DESA CONTOH 20-013</t>
        </is>
      </c>
      <c r="I208" s="6" t="n">
        <v>2</v>
      </c>
      <c r="J208" s="9" t="n">
        <v>351693</v>
      </c>
    </row>
    <row r="209">
      <c r="A209" s="8" t="n">
        <v>30</v>
      </c>
      <c r="B209" s="8" t="n">
        <v>6</v>
      </c>
      <c r="C209" s="8" t="n">
        <v>15</v>
      </c>
      <c r="D209" s="8" t="n">
        <v>14</v>
      </c>
      <c r="E209" s="8" t="inlineStr">
        <is>
          <t>KALIMANTAN BARAT</t>
        </is>
      </c>
      <c r="F209" s="8" t="inlineStr">
        <is>
          <t>KAB/KOTA CONTOH 6</t>
        </is>
      </c>
      <c r="G209" s="8" t="inlineStr">
        <is>
          <t>KEC CONTOH 15</t>
        </is>
      </c>
      <c r="H209" s="8" t="inlineStr">
        <is>
          <t>DESA CONTOH 20-014</t>
        </is>
      </c>
      <c r="I209" s="6" t="n">
        <v>2</v>
      </c>
      <c r="J209" s="9" t="n">
        <v>453294</v>
      </c>
    </row>
    <row r="210">
      <c r="A210" s="8" t="n">
        <v>31</v>
      </c>
      <c r="B210" s="8" t="n">
        <v>2</v>
      </c>
      <c r="C210" s="8" t="n">
        <v>2</v>
      </c>
      <c r="D210" s="8" t="n">
        <v>1</v>
      </c>
      <c r="E210" s="8" t="inlineStr">
        <is>
          <t>KALIMANTAN TENGAH</t>
        </is>
      </c>
      <c r="F210" s="8" t="inlineStr">
        <is>
          <t>KAB/KOTA CONTOH 2</t>
        </is>
      </c>
      <c r="G210" s="8" t="inlineStr">
        <is>
          <t>KEC CONTOH 2</t>
        </is>
      </c>
      <c r="H210" s="8" t="inlineStr">
        <is>
          <t>KELURAHAN CONTOH 21-001</t>
        </is>
      </c>
      <c r="I210" s="6" t="n">
        <v>1</v>
      </c>
      <c r="J210" s="9" t="n">
        <v>270219</v>
      </c>
    </row>
    <row r="211">
      <c r="A211" s="8" t="n">
        <v>31</v>
      </c>
      <c r="B211" s="8" t="n">
        <v>3</v>
      </c>
      <c r="C211" s="8" t="n">
        <v>3</v>
      </c>
      <c r="D211" s="8" t="n">
        <v>2</v>
      </c>
      <c r="E211" s="8" t="inlineStr">
        <is>
          <t>KALIMANTAN TENGAH</t>
        </is>
      </c>
      <c r="F211" s="8" t="inlineStr">
        <is>
          <t>KAB/KOTA CONTOH 3</t>
        </is>
      </c>
      <c r="G211" s="8" t="inlineStr">
        <is>
          <t>KEC CONTOH 3</t>
        </is>
      </c>
      <c r="H211" s="8" t="inlineStr">
        <is>
          <t>KELURAHAN CONTOH 21-002</t>
        </is>
      </c>
      <c r="I211" s="6" t="n">
        <v>1</v>
      </c>
      <c r="J211" s="9" t="n">
        <v>144117</v>
      </c>
    </row>
    <row r="212">
      <c r="A212" s="8" t="n">
        <v>31</v>
      </c>
      <c r="B212" s="8" t="n">
        <v>4</v>
      </c>
      <c r="C212" s="8" t="n">
        <v>4</v>
      </c>
      <c r="D212" s="8" t="n">
        <v>3</v>
      </c>
      <c r="E212" s="8" t="inlineStr">
        <is>
          <t>KALIMANTAN TENGAH</t>
        </is>
      </c>
      <c r="F212" s="8" t="inlineStr">
        <is>
          <t>KAB/KOTA CONTOH 4</t>
        </is>
      </c>
      <c r="G212" s="8" t="inlineStr">
        <is>
          <t>KEC CONTOH 4</t>
        </is>
      </c>
      <c r="H212" s="8" t="inlineStr">
        <is>
          <t>DESA CONTOH 21-003</t>
        </is>
      </c>
      <c r="I212" s="6" t="n">
        <v>2</v>
      </c>
      <c r="J212" s="9" t="n">
        <v>202664</v>
      </c>
    </row>
    <row r="213">
      <c r="A213" s="8" t="n">
        <v>31</v>
      </c>
      <c r="B213" s="8" t="n">
        <v>5</v>
      </c>
      <c r="C213" s="8" t="n">
        <v>5</v>
      </c>
      <c r="D213" s="8" t="n">
        <v>4</v>
      </c>
      <c r="E213" s="8" t="inlineStr">
        <is>
          <t>KALIMANTAN TENGAH</t>
        </is>
      </c>
      <c r="F213" s="8" t="inlineStr">
        <is>
          <t>KAB/KOTA CONTOH 5</t>
        </is>
      </c>
      <c r="G213" s="8" t="inlineStr">
        <is>
          <t>KEC CONTOH 5</t>
        </is>
      </c>
      <c r="H213" s="8" t="inlineStr">
        <is>
          <t>DESA CONTOH 21-004</t>
        </is>
      </c>
      <c r="I213" s="6" t="n">
        <v>2</v>
      </c>
      <c r="J213" s="9" t="n">
        <v>261212</v>
      </c>
    </row>
    <row r="214">
      <c r="A214" s="8" t="n">
        <v>31</v>
      </c>
      <c r="B214" s="8" t="n">
        <v>6</v>
      </c>
      <c r="C214" s="8" t="n">
        <v>6</v>
      </c>
      <c r="D214" s="8" t="n">
        <v>5</v>
      </c>
      <c r="E214" s="8" t="inlineStr">
        <is>
          <t>KALIMANTAN TENGAH</t>
        </is>
      </c>
      <c r="F214" s="8" t="inlineStr">
        <is>
          <t>KAB/KOTA CONTOH 6</t>
        </is>
      </c>
      <c r="G214" s="8" t="inlineStr">
        <is>
          <t>KEC CONTOH 6</t>
        </is>
      </c>
      <c r="H214" s="8" t="inlineStr">
        <is>
          <t>DESA CONTOH 21-005</t>
        </is>
      </c>
      <c r="I214" s="6" t="n">
        <v>2</v>
      </c>
      <c r="J214" s="9" t="n">
        <v>135109</v>
      </c>
    </row>
    <row r="215">
      <c r="A215" s="8" t="n">
        <v>31</v>
      </c>
      <c r="B215" s="8" t="n">
        <v>7</v>
      </c>
      <c r="C215" s="8" t="n">
        <v>7</v>
      </c>
      <c r="D215" s="8" t="n">
        <v>6</v>
      </c>
      <c r="E215" s="8" t="inlineStr">
        <is>
          <t>KALIMANTAN TENGAH</t>
        </is>
      </c>
      <c r="F215" s="8" t="inlineStr">
        <is>
          <t>KAB/KOTA CONTOH 7</t>
        </is>
      </c>
      <c r="G215" s="8" t="inlineStr">
        <is>
          <t>KEC CONTOH 7</t>
        </is>
      </c>
      <c r="H215" s="8" t="inlineStr">
        <is>
          <t>DESA CONTOH 21-006</t>
        </is>
      </c>
      <c r="I215" s="6" t="n">
        <v>2</v>
      </c>
      <c r="J215" s="9" t="n">
        <v>193657</v>
      </c>
    </row>
    <row r="216">
      <c r="A216" s="8" t="n">
        <v>31</v>
      </c>
      <c r="B216" s="8" t="n">
        <v>8</v>
      </c>
      <c r="C216" s="8" t="n">
        <v>8</v>
      </c>
      <c r="D216" s="8" t="n">
        <v>7</v>
      </c>
      <c r="E216" s="8" t="inlineStr">
        <is>
          <t>KALIMANTAN TENGAH</t>
        </is>
      </c>
      <c r="F216" s="8" t="inlineStr">
        <is>
          <t>KAB/KOTA CONTOH 8</t>
        </is>
      </c>
      <c r="G216" s="8" t="inlineStr">
        <is>
          <t>KEC CONTOH 8</t>
        </is>
      </c>
      <c r="H216" s="8" t="inlineStr">
        <is>
          <t>DESA CONTOH 21-007</t>
        </is>
      </c>
      <c r="I216" s="6" t="n">
        <v>2</v>
      </c>
      <c r="J216" s="9" t="n">
        <v>252204</v>
      </c>
    </row>
    <row r="217">
      <c r="A217" s="8" t="n">
        <v>31</v>
      </c>
      <c r="B217" s="8" t="n">
        <v>9</v>
      </c>
      <c r="C217" s="8" t="n">
        <v>9</v>
      </c>
      <c r="D217" s="8" t="n">
        <v>8</v>
      </c>
      <c r="E217" s="8" t="inlineStr">
        <is>
          <t>KALIMANTAN TENGAH</t>
        </is>
      </c>
      <c r="F217" s="8" t="inlineStr">
        <is>
          <t>KAB/KOTA CONTOH 9</t>
        </is>
      </c>
      <c r="G217" s="8" t="inlineStr">
        <is>
          <t>KEC CONTOH 9</t>
        </is>
      </c>
      <c r="H217" s="8" t="inlineStr">
        <is>
          <t>DESA CONTOH 21-008</t>
        </is>
      </c>
      <c r="I217" s="6" t="n">
        <v>2</v>
      </c>
      <c r="J217" s="9" t="n">
        <v>310752</v>
      </c>
    </row>
    <row r="218">
      <c r="A218" s="8" t="n">
        <v>31</v>
      </c>
      <c r="B218" s="8" t="n">
        <v>1</v>
      </c>
      <c r="C218" s="8" t="n">
        <v>10</v>
      </c>
      <c r="D218" s="8" t="n">
        <v>9</v>
      </c>
      <c r="E218" s="8" t="inlineStr">
        <is>
          <t>KALIMANTAN TENGAH</t>
        </is>
      </c>
      <c r="F218" s="8" t="inlineStr">
        <is>
          <t>KAB/KOTA CONTOH 1</t>
        </is>
      </c>
      <c r="G218" s="8" t="inlineStr">
        <is>
          <t>KEC CONTOH 10</t>
        </is>
      </c>
      <c r="H218" s="8" t="inlineStr">
        <is>
          <t>DESA CONTOH 21-009</t>
        </is>
      </c>
      <c r="I218" s="6" t="n">
        <v>2</v>
      </c>
      <c r="J218" s="9" t="n">
        <v>184650</v>
      </c>
    </row>
    <row r="219">
      <c r="A219" s="8" t="n">
        <v>31</v>
      </c>
      <c r="B219" s="8" t="n">
        <v>2</v>
      </c>
      <c r="C219" s="8" t="n">
        <v>11</v>
      </c>
      <c r="D219" s="8" t="n">
        <v>10</v>
      </c>
      <c r="E219" s="8" t="inlineStr">
        <is>
          <t>KALIMANTAN TENGAH</t>
        </is>
      </c>
      <c r="F219" s="8" t="inlineStr">
        <is>
          <t>KAB/KOTA CONTOH 2</t>
        </is>
      </c>
      <c r="G219" s="8" t="inlineStr">
        <is>
          <t>KEC CONTOH 11</t>
        </is>
      </c>
      <c r="H219" s="8" t="inlineStr">
        <is>
          <t>DESA CONTOH 21-010</t>
        </is>
      </c>
      <c r="I219" s="6" t="n">
        <v>2</v>
      </c>
      <c r="J219" s="9" t="n">
        <v>243197</v>
      </c>
    </row>
    <row r="220">
      <c r="A220" s="8" t="n">
        <v>31</v>
      </c>
      <c r="B220" s="8" t="n">
        <v>3</v>
      </c>
      <c r="C220" s="8" t="n">
        <v>12</v>
      </c>
      <c r="D220" s="8" t="n">
        <v>11</v>
      </c>
      <c r="E220" s="8" t="inlineStr">
        <is>
          <t>KALIMANTAN TENGAH</t>
        </is>
      </c>
      <c r="F220" s="8" t="inlineStr">
        <is>
          <t>KAB/KOTA CONTOH 3</t>
        </is>
      </c>
      <c r="G220" s="8" t="inlineStr">
        <is>
          <t>KEC CONTOH 12</t>
        </is>
      </c>
      <c r="H220" s="8" t="inlineStr">
        <is>
          <t>DESA CONTOH 21-011</t>
        </is>
      </c>
      <c r="I220" s="6" t="n">
        <v>2</v>
      </c>
      <c r="J220" s="9" t="n">
        <v>301745</v>
      </c>
    </row>
    <row r="221">
      <c r="A221" s="8" t="n">
        <v>31</v>
      </c>
      <c r="B221" s="8" t="n">
        <v>4</v>
      </c>
      <c r="C221" s="8" t="n">
        <v>13</v>
      </c>
      <c r="D221" s="8" t="n">
        <v>12</v>
      </c>
      <c r="E221" s="8" t="inlineStr">
        <is>
          <t>KALIMANTAN TENGAH</t>
        </is>
      </c>
      <c r="F221" s="8" t="inlineStr">
        <is>
          <t>KAB/KOTA CONTOH 4</t>
        </is>
      </c>
      <c r="G221" s="8" t="inlineStr">
        <is>
          <t>KEC CONTOH 13</t>
        </is>
      </c>
      <c r="H221" s="8" t="inlineStr">
        <is>
          <t>DESA CONTOH 21-012</t>
        </is>
      </c>
      <c r="I221" s="6" t="n">
        <v>2</v>
      </c>
      <c r="J221" s="9" t="n">
        <v>175642</v>
      </c>
    </row>
    <row r="222">
      <c r="A222" s="8" t="n">
        <v>32</v>
      </c>
      <c r="B222" s="8" t="n">
        <v>2</v>
      </c>
      <c r="C222" s="8" t="n">
        <v>2</v>
      </c>
      <c r="D222" s="8" t="n">
        <v>1</v>
      </c>
      <c r="E222" s="8" t="inlineStr">
        <is>
          <t>KALIMANTAN SELATAN</t>
        </is>
      </c>
      <c r="F222" s="8" t="inlineStr">
        <is>
          <t>KAB/KOTA CONTOH 2</t>
        </is>
      </c>
      <c r="G222" s="8" t="inlineStr">
        <is>
          <t>KEC CONTOH 2</t>
        </is>
      </c>
      <c r="H222" s="8" t="inlineStr">
        <is>
          <t>KELURAHAN CONTOH 22-001</t>
        </is>
      </c>
      <c r="I222" s="6" t="n">
        <v>1</v>
      </c>
      <c r="J222" s="9" t="n">
        <v>789179</v>
      </c>
    </row>
    <row r="223">
      <c r="A223" s="8" t="n">
        <v>32</v>
      </c>
      <c r="B223" s="8" t="n">
        <v>3</v>
      </c>
      <c r="C223" s="8" t="n">
        <v>3</v>
      </c>
      <c r="D223" s="8" t="n">
        <v>2</v>
      </c>
      <c r="E223" s="8" t="inlineStr">
        <is>
          <t>KALIMANTAN SELATAN</t>
        </is>
      </c>
      <c r="F223" s="8" t="inlineStr">
        <is>
          <t>KAB/KOTA CONTOH 3</t>
        </is>
      </c>
      <c r="G223" s="8" t="inlineStr">
        <is>
          <t>KEC CONTOH 3</t>
        </is>
      </c>
      <c r="H223" s="8" t="inlineStr">
        <is>
          <t>KELURAHAN CONTOH 22-002</t>
        </is>
      </c>
      <c r="I223" s="6" t="n">
        <v>1</v>
      </c>
      <c r="J223" s="9" t="n">
        <v>459373</v>
      </c>
    </row>
    <row r="224">
      <c r="A224" s="8" t="n">
        <v>32</v>
      </c>
      <c r="B224" s="8" t="n">
        <v>4</v>
      </c>
      <c r="C224" s="8" t="n">
        <v>4</v>
      </c>
      <c r="D224" s="8" t="n">
        <v>3</v>
      </c>
      <c r="E224" s="8" t="inlineStr">
        <is>
          <t>KALIMANTAN SELATAN</t>
        </is>
      </c>
      <c r="F224" s="8" t="inlineStr">
        <is>
          <t>KAB/KOTA CONTOH 4</t>
        </is>
      </c>
      <c r="G224" s="8" t="inlineStr">
        <is>
          <t>KEC CONTOH 4</t>
        </is>
      </c>
      <c r="H224" s="8" t="inlineStr">
        <is>
          <t>KELURAHAN CONTOH 22-003</t>
        </is>
      </c>
      <c r="I224" s="6" t="n">
        <v>1</v>
      </c>
      <c r="J224" s="9" t="n">
        <v>612497</v>
      </c>
    </row>
    <row r="225">
      <c r="A225" s="8" t="n">
        <v>32</v>
      </c>
      <c r="B225" s="8" t="n">
        <v>5</v>
      </c>
      <c r="C225" s="8" t="n">
        <v>5</v>
      </c>
      <c r="D225" s="8" t="n">
        <v>4</v>
      </c>
      <c r="E225" s="8" t="inlineStr">
        <is>
          <t>KALIMANTAN SELATAN</t>
        </is>
      </c>
      <c r="F225" s="8" t="inlineStr">
        <is>
          <t>KAB/KOTA CONTOH 5</t>
        </is>
      </c>
      <c r="G225" s="8" t="inlineStr">
        <is>
          <t>KEC CONTOH 5</t>
        </is>
      </c>
      <c r="H225" s="8" t="inlineStr">
        <is>
          <t>DESA CONTOH 22-004</t>
        </is>
      </c>
      <c r="I225" s="6" t="n">
        <v>2</v>
      </c>
      <c r="J225" s="9" t="n">
        <v>765621</v>
      </c>
    </row>
    <row r="226">
      <c r="A226" s="8" t="n">
        <v>32</v>
      </c>
      <c r="B226" s="8" t="n">
        <v>6</v>
      </c>
      <c r="C226" s="8" t="n">
        <v>6</v>
      </c>
      <c r="D226" s="8" t="n">
        <v>5</v>
      </c>
      <c r="E226" s="8" t="inlineStr">
        <is>
          <t>KALIMANTAN SELATAN</t>
        </is>
      </c>
      <c r="F226" s="8" t="inlineStr">
        <is>
          <t>KAB/KOTA CONTOH 6</t>
        </is>
      </c>
      <c r="G226" s="8" t="inlineStr">
        <is>
          <t>KEC CONTOH 6</t>
        </is>
      </c>
      <c r="H226" s="8" t="inlineStr">
        <is>
          <t>DESA CONTOH 22-005</t>
        </is>
      </c>
      <c r="I226" s="6" t="n">
        <v>2</v>
      </c>
      <c r="J226" s="9" t="n">
        <v>435815</v>
      </c>
    </row>
    <row r="227">
      <c r="A227" s="8" t="n">
        <v>32</v>
      </c>
      <c r="B227" s="8" t="n">
        <v>7</v>
      </c>
      <c r="C227" s="8" t="n">
        <v>7</v>
      </c>
      <c r="D227" s="8" t="n">
        <v>6</v>
      </c>
      <c r="E227" s="8" t="inlineStr">
        <is>
          <t>KALIMANTAN SELATAN</t>
        </is>
      </c>
      <c r="F227" s="8" t="inlineStr">
        <is>
          <t>KAB/KOTA CONTOH 7</t>
        </is>
      </c>
      <c r="G227" s="8" t="inlineStr">
        <is>
          <t>KEC CONTOH 7</t>
        </is>
      </c>
      <c r="H227" s="8" t="inlineStr">
        <is>
          <t>DESA CONTOH 22-006</t>
        </is>
      </c>
      <c r="I227" s="6" t="n">
        <v>2</v>
      </c>
      <c r="J227" s="9" t="n">
        <v>588940</v>
      </c>
    </row>
    <row r="228">
      <c r="A228" s="8" t="n">
        <v>32</v>
      </c>
      <c r="B228" s="8" t="n">
        <v>8</v>
      </c>
      <c r="C228" s="8" t="n">
        <v>8</v>
      </c>
      <c r="D228" s="8" t="n">
        <v>7</v>
      </c>
      <c r="E228" s="8" t="inlineStr">
        <is>
          <t>KALIMANTAN SELATAN</t>
        </is>
      </c>
      <c r="F228" s="8" t="inlineStr">
        <is>
          <t>KAB/KOTA CONTOH 8</t>
        </is>
      </c>
      <c r="G228" s="8" t="inlineStr">
        <is>
          <t>KEC CONTOH 8</t>
        </is>
      </c>
      <c r="H228" s="8" t="inlineStr">
        <is>
          <t>DESA CONTOH 22-007</t>
        </is>
      </c>
      <c r="I228" s="6" t="n">
        <v>2</v>
      </c>
      <c r="J228" s="9" t="n">
        <v>742064</v>
      </c>
    </row>
    <row r="229">
      <c r="A229" s="8" t="n">
        <v>33</v>
      </c>
      <c r="B229" s="8" t="n">
        <v>2</v>
      </c>
      <c r="C229" s="8" t="n">
        <v>2</v>
      </c>
      <c r="D229" s="8" t="n">
        <v>1</v>
      </c>
      <c r="E229" s="8" t="inlineStr">
        <is>
          <t>KALIMANTAN TIMUR</t>
        </is>
      </c>
      <c r="F229" s="8" t="inlineStr">
        <is>
          <t>KAB/KOTA CONTOH 2</t>
        </is>
      </c>
      <c r="G229" s="8" t="inlineStr">
        <is>
          <t>KEC CONTOH 2</t>
        </is>
      </c>
      <c r="H229" s="8" t="inlineStr">
        <is>
          <t>KELURAHAN CONTOH 23-001</t>
        </is>
      </c>
      <c r="I229" s="6" t="n">
        <v>1</v>
      </c>
      <c r="J229" s="9" t="n">
        <v>279270</v>
      </c>
    </row>
    <row r="230">
      <c r="A230" s="8" t="n">
        <v>33</v>
      </c>
      <c r="B230" s="8" t="n">
        <v>3</v>
      </c>
      <c r="C230" s="8" t="n">
        <v>3</v>
      </c>
      <c r="D230" s="8" t="n">
        <v>2</v>
      </c>
      <c r="E230" s="8" t="inlineStr">
        <is>
          <t>KALIMANTAN TIMUR</t>
        </is>
      </c>
      <c r="F230" s="8" t="inlineStr">
        <is>
          <t>KAB/KOTA CONTOH 3</t>
        </is>
      </c>
      <c r="G230" s="8" t="inlineStr">
        <is>
          <t>KEC CONTOH 3</t>
        </is>
      </c>
      <c r="H230" s="8" t="inlineStr">
        <is>
          <t>KELURAHAN CONTOH 23-002</t>
        </is>
      </c>
      <c r="I230" s="6" t="n">
        <v>1</v>
      </c>
      <c r="J230" s="9" t="n">
        <v>389286</v>
      </c>
    </row>
    <row r="231">
      <c r="A231" s="8" t="n">
        <v>33</v>
      </c>
      <c r="B231" s="8" t="n">
        <v>4</v>
      </c>
      <c r="C231" s="8" t="n">
        <v>4</v>
      </c>
      <c r="D231" s="8" t="n">
        <v>3</v>
      </c>
      <c r="E231" s="8" t="inlineStr">
        <is>
          <t>KALIMANTAN TIMUR</t>
        </is>
      </c>
      <c r="F231" s="8" t="inlineStr">
        <is>
          <t>KAB/KOTA CONTOH 4</t>
        </is>
      </c>
      <c r="G231" s="8" t="inlineStr">
        <is>
          <t>KEC CONTOH 4</t>
        </is>
      </c>
      <c r="H231" s="8" t="inlineStr">
        <is>
          <t>KELURAHAN CONTOH 23-003</t>
        </is>
      </c>
      <c r="I231" s="6" t="n">
        <v>1</v>
      </c>
      <c r="J231" s="9" t="n">
        <v>499301</v>
      </c>
    </row>
    <row r="232">
      <c r="A232" s="8" t="n">
        <v>33</v>
      </c>
      <c r="B232" s="8" t="n">
        <v>5</v>
      </c>
      <c r="C232" s="8" t="n">
        <v>5</v>
      </c>
      <c r="D232" s="8" t="n">
        <v>4</v>
      </c>
      <c r="E232" s="8" t="inlineStr">
        <is>
          <t>KALIMANTAN TIMUR</t>
        </is>
      </c>
      <c r="F232" s="8" t="inlineStr">
        <is>
          <t>KAB/KOTA CONTOH 5</t>
        </is>
      </c>
      <c r="G232" s="8" t="inlineStr">
        <is>
          <t>KEC CONTOH 5</t>
        </is>
      </c>
      <c r="H232" s="8" t="inlineStr">
        <is>
          <t>KELURAHAN CONTOH 23-004</t>
        </is>
      </c>
      <c r="I232" s="6" t="n">
        <v>1</v>
      </c>
      <c r="J232" s="9" t="n">
        <v>262344</v>
      </c>
    </row>
    <row r="233">
      <c r="A233" s="8" t="n">
        <v>33</v>
      </c>
      <c r="B233" s="8" t="n">
        <v>6</v>
      </c>
      <c r="C233" s="8" t="n">
        <v>6</v>
      </c>
      <c r="D233" s="8" t="n">
        <v>5</v>
      </c>
      <c r="E233" s="8" t="inlineStr">
        <is>
          <t>KALIMANTAN TIMUR</t>
        </is>
      </c>
      <c r="F233" s="8" t="inlineStr">
        <is>
          <t>KAB/KOTA CONTOH 6</t>
        </is>
      </c>
      <c r="G233" s="8" t="inlineStr">
        <is>
          <t>KEC CONTOH 6</t>
        </is>
      </c>
      <c r="H233" s="8" t="inlineStr">
        <is>
          <t>DESA CONTOH 23-005</t>
        </is>
      </c>
      <c r="I233" s="6" t="n">
        <v>2</v>
      </c>
      <c r="J233" s="9" t="n">
        <v>372360</v>
      </c>
    </row>
    <row r="234">
      <c r="A234" s="8" t="n">
        <v>33</v>
      </c>
      <c r="B234" s="8" t="n">
        <v>7</v>
      </c>
      <c r="C234" s="8" t="n">
        <v>7</v>
      </c>
      <c r="D234" s="8" t="n">
        <v>6</v>
      </c>
      <c r="E234" s="8" t="inlineStr">
        <is>
          <t>KALIMANTAN TIMUR</t>
        </is>
      </c>
      <c r="F234" s="8" t="inlineStr">
        <is>
          <t>KAB/KOTA CONTOH 7</t>
        </is>
      </c>
      <c r="G234" s="8" t="inlineStr">
        <is>
          <t>KEC CONTOH 7</t>
        </is>
      </c>
      <c r="H234" s="8" t="inlineStr">
        <is>
          <t>DESA CONTOH 23-006</t>
        </is>
      </c>
      <c r="I234" s="6" t="n">
        <v>2</v>
      </c>
      <c r="J234" s="9" t="n">
        <v>482376</v>
      </c>
    </row>
    <row r="235">
      <c r="A235" s="8" t="n">
        <v>33</v>
      </c>
      <c r="B235" s="8" t="n">
        <v>8</v>
      </c>
      <c r="C235" s="8" t="n">
        <v>8</v>
      </c>
      <c r="D235" s="8" t="n">
        <v>7</v>
      </c>
      <c r="E235" s="8" t="inlineStr">
        <is>
          <t>KALIMANTAN TIMUR</t>
        </is>
      </c>
      <c r="F235" s="8" t="inlineStr">
        <is>
          <t>KAB/KOTA CONTOH 8</t>
        </is>
      </c>
      <c r="G235" s="8" t="inlineStr">
        <is>
          <t>KEC CONTOH 8</t>
        </is>
      </c>
      <c r="H235" s="8" t="inlineStr">
        <is>
          <t>DESA CONTOH 23-007</t>
        </is>
      </c>
      <c r="I235" s="6" t="n">
        <v>2</v>
      </c>
      <c r="J235" s="9" t="n">
        <v>592391</v>
      </c>
    </row>
    <row r="236">
      <c r="A236" s="8" t="n">
        <v>33</v>
      </c>
      <c r="B236" s="8" t="n">
        <v>9</v>
      </c>
      <c r="C236" s="8" t="n">
        <v>9</v>
      </c>
      <c r="D236" s="8" t="n">
        <v>8</v>
      </c>
      <c r="E236" s="8" t="inlineStr">
        <is>
          <t>KALIMANTAN TIMUR</t>
        </is>
      </c>
      <c r="F236" s="8" t="inlineStr">
        <is>
          <t>KAB/KOTA CONTOH 9</t>
        </is>
      </c>
      <c r="G236" s="8" t="inlineStr">
        <is>
          <t>KEC CONTOH 9</t>
        </is>
      </c>
      <c r="H236" s="8" t="inlineStr">
        <is>
          <t>DESA CONTOH 23-008</t>
        </is>
      </c>
      <c r="I236" s="6" t="n">
        <v>2</v>
      </c>
      <c r="J236" s="9" t="n">
        <v>355435</v>
      </c>
    </row>
    <row r="237">
      <c r="A237" s="8" t="n">
        <v>33</v>
      </c>
      <c r="B237" s="8" t="n">
        <v>1</v>
      </c>
      <c r="C237" s="8" t="n">
        <v>10</v>
      </c>
      <c r="D237" s="8" t="n">
        <v>9</v>
      </c>
      <c r="E237" s="8" t="inlineStr">
        <is>
          <t>KALIMANTAN TIMUR</t>
        </is>
      </c>
      <c r="F237" s="8" t="inlineStr">
        <is>
          <t>KAB/KOTA CONTOH 1</t>
        </is>
      </c>
      <c r="G237" s="8" t="inlineStr">
        <is>
          <t>KEC CONTOH 10</t>
        </is>
      </c>
      <c r="H237" s="8" t="inlineStr">
        <is>
          <t>DESA CONTOH 23-009</t>
        </is>
      </c>
      <c r="I237" s="6" t="n">
        <v>2</v>
      </c>
      <c r="J237" s="9" t="n">
        <v>465450</v>
      </c>
    </row>
    <row r="238">
      <c r="A238" s="8" t="n">
        <v>34</v>
      </c>
      <c r="B238" s="8" t="n">
        <v>2</v>
      </c>
      <c r="C238" s="8" t="n">
        <v>2</v>
      </c>
      <c r="D238" s="8" t="n">
        <v>1</v>
      </c>
      <c r="E238" s="8" t="inlineStr">
        <is>
          <t>KALIMANTAN UTARA</t>
        </is>
      </c>
      <c r="F238" s="8" t="inlineStr">
        <is>
          <t>KAB/KOTA CONTOH 2</t>
        </is>
      </c>
      <c r="G238" s="8" t="inlineStr">
        <is>
          <t>KEC CONTOH 2</t>
        </is>
      </c>
      <c r="H238" s="8" t="inlineStr">
        <is>
          <t>KELURAHAN CONTOH 24-001</t>
        </is>
      </c>
      <c r="I238" s="6" t="n">
        <v>1</v>
      </c>
      <c r="J238" s="9" t="n">
        <v>51897</v>
      </c>
    </row>
    <row r="239">
      <c r="A239" s="8" t="n">
        <v>34</v>
      </c>
      <c r="B239" s="8" t="n">
        <v>3</v>
      </c>
      <c r="C239" s="8" t="n">
        <v>3</v>
      </c>
      <c r="D239" s="8" t="n">
        <v>2</v>
      </c>
      <c r="E239" s="8" t="inlineStr">
        <is>
          <t>KALIMANTAN UTARA</t>
        </is>
      </c>
      <c r="F239" s="8" t="inlineStr">
        <is>
          <t>KAB/KOTA CONTOH 3</t>
        </is>
      </c>
      <c r="G239" s="8" t="inlineStr">
        <is>
          <t>KEC CONTOH 3</t>
        </is>
      </c>
      <c r="H239" s="8" t="inlineStr">
        <is>
          <t>KELURAHAN CONTOH 24-002</t>
        </is>
      </c>
      <c r="I239" s="6" t="n">
        <v>1</v>
      </c>
      <c r="J239" s="9" t="n">
        <v>68764</v>
      </c>
    </row>
    <row r="240">
      <c r="A240" s="8" t="n">
        <v>34</v>
      </c>
      <c r="B240" s="8" t="n">
        <v>4</v>
      </c>
      <c r="C240" s="8" t="n">
        <v>4</v>
      </c>
      <c r="D240" s="8" t="n">
        <v>3</v>
      </c>
      <c r="E240" s="8" t="inlineStr">
        <is>
          <t>KALIMANTAN UTARA</t>
        </is>
      </c>
      <c r="F240" s="8" t="inlineStr">
        <is>
          <t>KAB/KOTA CONTOH 4</t>
        </is>
      </c>
      <c r="G240" s="8" t="inlineStr">
        <is>
          <t>KEC CONTOH 4</t>
        </is>
      </c>
      <c r="H240" s="8" t="inlineStr">
        <is>
          <t>KELURAHAN CONTOH 24-003</t>
        </is>
      </c>
      <c r="I240" s="6" t="n">
        <v>1</v>
      </c>
      <c r="J240" s="9" t="n">
        <v>85631</v>
      </c>
    </row>
    <row r="241">
      <c r="A241" s="8" t="n">
        <v>34</v>
      </c>
      <c r="B241" s="8" t="n">
        <v>5</v>
      </c>
      <c r="C241" s="8" t="n">
        <v>5</v>
      </c>
      <c r="D241" s="8" t="n">
        <v>4</v>
      </c>
      <c r="E241" s="8" t="inlineStr">
        <is>
          <t>KALIMANTAN UTARA</t>
        </is>
      </c>
      <c r="F241" s="8" t="inlineStr">
        <is>
          <t>KAB/KOTA CONTOH 5</t>
        </is>
      </c>
      <c r="G241" s="8" t="inlineStr">
        <is>
          <t>KEC CONTOH 5</t>
        </is>
      </c>
      <c r="H241" s="8" t="inlineStr">
        <is>
          <t>KELURAHAN CONTOH 24-004</t>
        </is>
      </c>
      <c r="I241" s="6" t="n">
        <v>1</v>
      </c>
      <c r="J241" s="9" t="n">
        <v>49302</v>
      </c>
    </row>
    <row r="242">
      <c r="A242" s="8" t="n">
        <v>34</v>
      </c>
      <c r="B242" s="8" t="n">
        <v>6</v>
      </c>
      <c r="C242" s="8" t="n">
        <v>6</v>
      </c>
      <c r="D242" s="8" t="n">
        <v>5</v>
      </c>
      <c r="E242" s="8" t="inlineStr">
        <is>
          <t>KALIMANTAN UTARA</t>
        </is>
      </c>
      <c r="F242" s="8" t="inlineStr">
        <is>
          <t>KAB/KOTA CONTOH 6</t>
        </is>
      </c>
      <c r="G242" s="8" t="inlineStr">
        <is>
          <t>KEC CONTOH 6</t>
        </is>
      </c>
      <c r="H242" s="8" t="inlineStr">
        <is>
          <t>KELURAHAN CONTOH 24-005</t>
        </is>
      </c>
      <c r="I242" s="6" t="n">
        <v>1</v>
      </c>
      <c r="J242" s="9" t="n">
        <v>66169</v>
      </c>
    </row>
    <row r="243">
      <c r="A243" s="8" t="n">
        <v>34</v>
      </c>
      <c r="B243" s="8" t="n">
        <v>7</v>
      </c>
      <c r="C243" s="8" t="n">
        <v>7</v>
      </c>
      <c r="D243" s="8" t="n">
        <v>6</v>
      </c>
      <c r="E243" s="8" t="inlineStr">
        <is>
          <t>KALIMANTAN UTARA</t>
        </is>
      </c>
      <c r="F243" s="8" t="inlineStr">
        <is>
          <t>KAB/KOTA CONTOH 7</t>
        </is>
      </c>
      <c r="G243" s="8" t="inlineStr">
        <is>
          <t>KEC CONTOH 7</t>
        </is>
      </c>
      <c r="H243" s="8" t="inlineStr">
        <is>
          <t>DESA CONTOH 24-006</t>
        </is>
      </c>
      <c r="I243" s="6" t="n">
        <v>2</v>
      </c>
      <c r="J243" s="9" t="n">
        <v>83036</v>
      </c>
    </row>
    <row r="244">
      <c r="A244" s="8" t="n">
        <v>34</v>
      </c>
      <c r="B244" s="8" t="n">
        <v>8</v>
      </c>
      <c r="C244" s="8" t="n">
        <v>8</v>
      </c>
      <c r="D244" s="8" t="n">
        <v>7</v>
      </c>
      <c r="E244" s="8" t="inlineStr">
        <is>
          <t>KALIMANTAN UTARA</t>
        </is>
      </c>
      <c r="F244" s="8" t="inlineStr">
        <is>
          <t>KAB/KOTA CONTOH 8</t>
        </is>
      </c>
      <c r="G244" s="8" t="inlineStr">
        <is>
          <t>KEC CONTOH 8</t>
        </is>
      </c>
      <c r="H244" s="8" t="inlineStr">
        <is>
          <t>DESA CONTOH 24-007</t>
        </is>
      </c>
      <c r="I244" s="6" t="n">
        <v>2</v>
      </c>
      <c r="J244" s="9" t="n">
        <v>46707</v>
      </c>
    </row>
    <row r="245">
      <c r="A245" s="8" t="n">
        <v>34</v>
      </c>
      <c r="B245" s="8" t="n">
        <v>9</v>
      </c>
      <c r="C245" s="8" t="n">
        <v>9</v>
      </c>
      <c r="D245" s="8" t="n">
        <v>8</v>
      </c>
      <c r="E245" s="8" t="inlineStr">
        <is>
          <t>KALIMANTAN UTARA</t>
        </is>
      </c>
      <c r="F245" s="8" t="inlineStr">
        <is>
          <t>KAB/KOTA CONTOH 9</t>
        </is>
      </c>
      <c r="G245" s="8" t="inlineStr">
        <is>
          <t>KEC CONTOH 9</t>
        </is>
      </c>
      <c r="H245" s="8" t="inlineStr">
        <is>
          <t>DESA CONTOH 24-008</t>
        </is>
      </c>
      <c r="I245" s="6" t="n">
        <v>2</v>
      </c>
      <c r="J245" s="9" t="n">
        <v>63574</v>
      </c>
    </row>
    <row r="246">
      <c r="A246" s="8" t="n">
        <v>34</v>
      </c>
      <c r="B246" s="8" t="n">
        <v>1</v>
      </c>
      <c r="C246" s="8" t="n">
        <v>10</v>
      </c>
      <c r="D246" s="8" t="n">
        <v>9</v>
      </c>
      <c r="E246" s="8" t="inlineStr">
        <is>
          <t>KALIMANTAN UTARA</t>
        </is>
      </c>
      <c r="F246" s="8" t="inlineStr">
        <is>
          <t>KAB/KOTA CONTOH 1</t>
        </is>
      </c>
      <c r="G246" s="8" t="inlineStr">
        <is>
          <t>KEC CONTOH 10</t>
        </is>
      </c>
      <c r="H246" s="8" t="inlineStr">
        <is>
          <t>DESA CONTOH 24-009</t>
        </is>
      </c>
      <c r="I246" s="6" t="n">
        <v>2</v>
      </c>
      <c r="J246" s="9" t="n">
        <v>80441</v>
      </c>
    </row>
    <row r="247">
      <c r="A247" s="8" t="n">
        <v>34</v>
      </c>
      <c r="B247" s="8" t="n">
        <v>2</v>
      </c>
      <c r="C247" s="8" t="n">
        <v>11</v>
      </c>
      <c r="D247" s="8" t="n">
        <v>10</v>
      </c>
      <c r="E247" s="8" t="inlineStr">
        <is>
          <t>KALIMANTAN UTARA</t>
        </is>
      </c>
      <c r="F247" s="8" t="inlineStr">
        <is>
          <t>KAB/KOTA CONTOH 2</t>
        </is>
      </c>
      <c r="G247" s="8" t="inlineStr">
        <is>
          <t>KEC CONTOH 11</t>
        </is>
      </c>
      <c r="H247" s="8" t="inlineStr">
        <is>
          <t>DESA CONTOH 24-010</t>
        </is>
      </c>
      <c r="I247" s="6" t="n">
        <v>2</v>
      </c>
      <c r="J247" s="9" t="n">
        <v>44112</v>
      </c>
    </row>
    <row r="248">
      <c r="A248" s="8" t="n">
        <v>34</v>
      </c>
      <c r="B248" s="8" t="n">
        <v>3</v>
      </c>
      <c r="C248" s="8" t="n">
        <v>12</v>
      </c>
      <c r="D248" s="8" t="n">
        <v>11</v>
      </c>
      <c r="E248" s="8" t="inlineStr">
        <is>
          <t>KALIMANTAN UTARA</t>
        </is>
      </c>
      <c r="F248" s="8" t="inlineStr">
        <is>
          <t>KAB/KOTA CONTOH 3</t>
        </is>
      </c>
      <c r="G248" s="8" t="inlineStr">
        <is>
          <t>KEC CONTOH 12</t>
        </is>
      </c>
      <c r="H248" s="8" t="inlineStr">
        <is>
          <t>DESA CONTOH 24-011</t>
        </is>
      </c>
      <c r="I248" s="6" t="n">
        <v>2</v>
      </c>
      <c r="J248" s="9" t="n">
        <v>60979</v>
      </c>
    </row>
    <row r="249">
      <c r="A249" s="8" t="n">
        <v>35</v>
      </c>
      <c r="B249" s="8" t="n">
        <v>2</v>
      </c>
      <c r="C249" s="8" t="n">
        <v>2</v>
      </c>
      <c r="D249" s="8" t="n">
        <v>1</v>
      </c>
      <c r="E249" s="8" t="inlineStr">
        <is>
          <t>SULAWESI UTARA</t>
        </is>
      </c>
      <c r="F249" s="8" t="inlineStr">
        <is>
          <t>KAB/KOTA CONTOH 2</t>
        </is>
      </c>
      <c r="G249" s="8" t="inlineStr">
        <is>
          <t>KEC CONTOH 2</t>
        </is>
      </c>
      <c r="H249" s="8" t="inlineStr">
        <is>
          <t>KELURAHAN CONTOH 25-001</t>
        </is>
      </c>
      <c r="I249" s="6" t="n">
        <v>1</v>
      </c>
      <c r="J249" s="9" t="n">
        <v>275590</v>
      </c>
    </row>
    <row r="250">
      <c r="A250" s="8" t="n">
        <v>35</v>
      </c>
      <c r="B250" s="8" t="n">
        <v>3</v>
      </c>
      <c r="C250" s="8" t="n">
        <v>3</v>
      </c>
      <c r="D250" s="8" t="n">
        <v>2</v>
      </c>
      <c r="E250" s="8" t="inlineStr">
        <is>
          <t>SULAWESI UTARA</t>
        </is>
      </c>
      <c r="F250" s="8" t="inlineStr">
        <is>
          <t>KAB/KOTA CONTOH 3</t>
        </is>
      </c>
      <c r="G250" s="8" t="inlineStr">
        <is>
          <t>KEC CONTOH 3</t>
        </is>
      </c>
      <c r="H250" s="8" t="inlineStr">
        <is>
          <t>KELURAHAN CONTOH 25-002</t>
        </is>
      </c>
      <c r="I250" s="6" t="n">
        <v>1</v>
      </c>
      <c r="J250" s="9" t="n">
        <v>351817</v>
      </c>
    </row>
    <row r="251">
      <c r="A251" s="8" t="n">
        <v>35</v>
      </c>
      <c r="B251" s="8" t="n">
        <v>4</v>
      </c>
      <c r="C251" s="8" t="n">
        <v>4</v>
      </c>
      <c r="D251" s="8" t="n">
        <v>3</v>
      </c>
      <c r="E251" s="8" t="inlineStr">
        <is>
          <t>SULAWESI UTARA</t>
        </is>
      </c>
      <c r="F251" s="8" t="inlineStr">
        <is>
          <t>KAB/KOTA CONTOH 4</t>
        </is>
      </c>
      <c r="G251" s="8" t="inlineStr">
        <is>
          <t>KEC CONTOH 4</t>
        </is>
      </c>
      <c r="H251" s="8" t="inlineStr">
        <is>
          <t>DESA CONTOH 25-003</t>
        </is>
      </c>
      <c r="I251" s="6" t="n">
        <v>2</v>
      </c>
      <c r="J251" s="9" t="n">
        <v>187635</v>
      </c>
    </row>
    <row r="252">
      <c r="A252" s="8" t="n">
        <v>35</v>
      </c>
      <c r="B252" s="8" t="n">
        <v>5</v>
      </c>
      <c r="C252" s="8" t="n">
        <v>5</v>
      </c>
      <c r="D252" s="8" t="n">
        <v>4</v>
      </c>
      <c r="E252" s="8" t="inlineStr">
        <is>
          <t>SULAWESI UTARA</t>
        </is>
      </c>
      <c r="F252" s="8" t="inlineStr">
        <is>
          <t>KAB/KOTA CONTOH 5</t>
        </is>
      </c>
      <c r="G252" s="8" t="inlineStr">
        <is>
          <t>KEC CONTOH 5</t>
        </is>
      </c>
      <c r="H252" s="8" t="inlineStr">
        <is>
          <t>DESA CONTOH 25-004</t>
        </is>
      </c>
      <c r="I252" s="6" t="n">
        <v>2</v>
      </c>
      <c r="J252" s="9" t="n">
        <v>263862</v>
      </c>
    </row>
    <row r="253">
      <c r="A253" s="8" t="n">
        <v>35</v>
      </c>
      <c r="B253" s="8" t="n">
        <v>6</v>
      </c>
      <c r="C253" s="8" t="n">
        <v>6</v>
      </c>
      <c r="D253" s="8" t="n">
        <v>5</v>
      </c>
      <c r="E253" s="8" t="inlineStr">
        <is>
          <t>SULAWESI UTARA</t>
        </is>
      </c>
      <c r="F253" s="8" t="inlineStr">
        <is>
          <t>KAB/KOTA CONTOH 6</t>
        </is>
      </c>
      <c r="G253" s="8" t="inlineStr">
        <is>
          <t>KEC CONTOH 6</t>
        </is>
      </c>
      <c r="H253" s="8" t="inlineStr">
        <is>
          <t>DESA CONTOH 25-005</t>
        </is>
      </c>
      <c r="I253" s="6" t="n">
        <v>2</v>
      </c>
      <c r="J253" s="9" t="n">
        <v>340089</v>
      </c>
    </row>
    <row r="254">
      <c r="A254" s="8" t="n">
        <v>35</v>
      </c>
      <c r="B254" s="8" t="n">
        <v>7</v>
      </c>
      <c r="C254" s="8" t="n">
        <v>7</v>
      </c>
      <c r="D254" s="8" t="n">
        <v>6</v>
      </c>
      <c r="E254" s="8" t="inlineStr">
        <is>
          <t>SULAWESI UTARA</t>
        </is>
      </c>
      <c r="F254" s="8" t="inlineStr">
        <is>
          <t>KAB/KOTA CONTOH 7</t>
        </is>
      </c>
      <c r="G254" s="8" t="inlineStr">
        <is>
          <t>KEC CONTOH 7</t>
        </is>
      </c>
      <c r="H254" s="8" t="inlineStr">
        <is>
          <t>DESA CONTOH 25-006</t>
        </is>
      </c>
      <c r="I254" s="6" t="n">
        <v>2</v>
      </c>
      <c r="J254" s="9" t="n">
        <v>175908</v>
      </c>
    </row>
    <row r="255">
      <c r="A255" s="8" t="n">
        <v>35</v>
      </c>
      <c r="B255" s="8" t="n">
        <v>8</v>
      </c>
      <c r="C255" s="8" t="n">
        <v>8</v>
      </c>
      <c r="D255" s="8" t="n">
        <v>7</v>
      </c>
      <c r="E255" s="8" t="inlineStr">
        <is>
          <t>SULAWESI UTARA</t>
        </is>
      </c>
      <c r="F255" s="8" t="inlineStr">
        <is>
          <t>KAB/KOTA CONTOH 8</t>
        </is>
      </c>
      <c r="G255" s="8" t="inlineStr">
        <is>
          <t>KEC CONTOH 8</t>
        </is>
      </c>
      <c r="H255" s="8" t="inlineStr">
        <is>
          <t>DESA CONTOH 25-007</t>
        </is>
      </c>
      <c r="I255" s="6" t="n">
        <v>2</v>
      </c>
      <c r="J255" s="9" t="n">
        <v>252135</v>
      </c>
    </row>
    <row r="256">
      <c r="A256" s="8" t="n">
        <v>35</v>
      </c>
      <c r="B256" s="8" t="n">
        <v>9</v>
      </c>
      <c r="C256" s="8" t="n">
        <v>9</v>
      </c>
      <c r="D256" s="8" t="n">
        <v>8</v>
      </c>
      <c r="E256" s="8" t="inlineStr">
        <is>
          <t>SULAWESI UTARA</t>
        </is>
      </c>
      <c r="F256" s="8" t="inlineStr">
        <is>
          <t>KAB/KOTA CONTOH 9</t>
        </is>
      </c>
      <c r="G256" s="8" t="inlineStr">
        <is>
          <t>KEC CONTOH 9</t>
        </is>
      </c>
      <c r="H256" s="8" t="inlineStr">
        <is>
          <t>DESA CONTOH 25-008</t>
        </is>
      </c>
      <c r="I256" s="6" t="n">
        <v>2</v>
      </c>
      <c r="J256" s="9" t="n">
        <v>328362</v>
      </c>
    </row>
    <row r="257">
      <c r="A257" s="8" t="n">
        <v>35</v>
      </c>
      <c r="B257" s="8" t="n">
        <v>1</v>
      </c>
      <c r="C257" s="8" t="n">
        <v>10</v>
      </c>
      <c r="D257" s="8" t="n">
        <v>9</v>
      </c>
      <c r="E257" s="8" t="inlineStr">
        <is>
          <t>SULAWESI UTARA</t>
        </is>
      </c>
      <c r="F257" s="8" t="inlineStr">
        <is>
          <t>KAB/KOTA CONTOH 1</t>
        </is>
      </c>
      <c r="G257" s="8" t="inlineStr">
        <is>
          <t>KEC CONTOH 10</t>
        </is>
      </c>
      <c r="H257" s="8" t="inlineStr">
        <is>
          <t>DESA CONTOH 25-009</t>
        </is>
      </c>
      <c r="I257" s="6" t="n">
        <v>2</v>
      </c>
      <c r="J257" s="9" t="n">
        <v>404589</v>
      </c>
    </row>
    <row r="258">
      <c r="A258" s="8" t="n">
        <v>36</v>
      </c>
      <c r="B258" s="8" t="n">
        <v>2</v>
      </c>
      <c r="C258" s="8" t="n">
        <v>2</v>
      </c>
      <c r="D258" s="8" t="n">
        <v>1</v>
      </c>
      <c r="E258" s="8" t="inlineStr">
        <is>
          <t>SULAWESI TENGAH</t>
        </is>
      </c>
      <c r="F258" s="8" t="inlineStr">
        <is>
          <t>KAB/KOTA CONTOH 2</t>
        </is>
      </c>
      <c r="G258" s="8" t="inlineStr">
        <is>
          <t>KEC CONTOH 2</t>
        </is>
      </c>
      <c r="H258" s="8" t="inlineStr">
        <is>
          <t>KELURAHAN CONTOH 26-001</t>
        </is>
      </c>
      <c r="I258" s="6" t="n">
        <v>1</v>
      </c>
      <c r="J258" s="9" t="n">
        <v>296693</v>
      </c>
    </row>
    <row r="259">
      <c r="A259" s="8" t="n">
        <v>36</v>
      </c>
      <c r="B259" s="8" t="n">
        <v>3</v>
      </c>
      <c r="C259" s="8" t="n">
        <v>3</v>
      </c>
      <c r="D259" s="8" t="n">
        <v>2</v>
      </c>
      <c r="E259" s="8" t="inlineStr">
        <is>
          <t>SULAWESI TENGAH</t>
        </is>
      </c>
      <c r="F259" s="8" t="inlineStr">
        <is>
          <t>KAB/KOTA CONTOH 3</t>
        </is>
      </c>
      <c r="G259" s="8" t="inlineStr">
        <is>
          <t>KEC CONTOH 3</t>
        </is>
      </c>
      <c r="H259" s="8" t="inlineStr">
        <is>
          <t>KELURAHAN CONTOH 26-002</t>
        </is>
      </c>
      <c r="I259" s="6" t="n">
        <v>1</v>
      </c>
      <c r="J259" s="9" t="n">
        <v>368119</v>
      </c>
    </row>
    <row r="260">
      <c r="A260" s="8" t="n">
        <v>36</v>
      </c>
      <c r="B260" s="8" t="n">
        <v>4</v>
      </c>
      <c r="C260" s="8" t="n">
        <v>4</v>
      </c>
      <c r="D260" s="8" t="n">
        <v>3</v>
      </c>
      <c r="E260" s="8" t="inlineStr">
        <is>
          <t>SULAWESI TENGAH</t>
        </is>
      </c>
      <c r="F260" s="8" t="inlineStr">
        <is>
          <t>KAB/KOTA CONTOH 4</t>
        </is>
      </c>
      <c r="G260" s="8" t="inlineStr">
        <is>
          <t>KEC CONTOH 4</t>
        </is>
      </c>
      <c r="H260" s="8" t="inlineStr">
        <is>
          <t>KELURAHAN CONTOH 26-003</t>
        </is>
      </c>
      <c r="I260" s="6" t="n">
        <v>1</v>
      </c>
      <c r="J260" s="9" t="n">
        <v>214278</v>
      </c>
    </row>
    <row r="261">
      <c r="A261" s="8" t="n">
        <v>36</v>
      </c>
      <c r="B261" s="8" t="n">
        <v>5</v>
      </c>
      <c r="C261" s="8" t="n">
        <v>5</v>
      </c>
      <c r="D261" s="8" t="n">
        <v>4</v>
      </c>
      <c r="E261" s="8" t="inlineStr">
        <is>
          <t>SULAWESI TENGAH</t>
        </is>
      </c>
      <c r="F261" s="8" t="inlineStr">
        <is>
          <t>KAB/KOTA CONTOH 5</t>
        </is>
      </c>
      <c r="G261" s="8" t="inlineStr">
        <is>
          <t>KEC CONTOH 5</t>
        </is>
      </c>
      <c r="H261" s="8" t="inlineStr">
        <is>
          <t>DESA CONTOH 26-004</t>
        </is>
      </c>
      <c r="I261" s="6" t="n">
        <v>2</v>
      </c>
      <c r="J261" s="9" t="n">
        <v>285704</v>
      </c>
    </row>
    <row r="262">
      <c r="A262" s="8" t="n">
        <v>36</v>
      </c>
      <c r="B262" s="8" t="n">
        <v>6</v>
      </c>
      <c r="C262" s="8" t="n">
        <v>6</v>
      </c>
      <c r="D262" s="8" t="n">
        <v>5</v>
      </c>
      <c r="E262" s="8" t="inlineStr">
        <is>
          <t>SULAWESI TENGAH</t>
        </is>
      </c>
      <c r="F262" s="8" t="inlineStr">
        <is>
          <t>KAB/KOTA CONTOH 6</t>
        </is>
      </c>
      <c r="G262" s="8" t="inlineStr">
        <is>
          <t>KEC CONTOH 6</t>
        </is>
      </c>
      <c r="H262" s="8" t="inlineStr">
        <is>
          <t>DESA CONTOH 26-005</t>
        </is>
      </c>
      <c r="I262" s="6" t="n">
        <v>2</v>
      </c>
      <c r="J262" s="9" t="n">
        <v>357130</v>
      </c>
    </row>
    <row r="263">
      <c r="A263" s="8" t="n">
        <v>36</v>
      </c>
      <c r="B263" s="8" t="n">
        <v>7</v>
      </c>
      <c r="C263" s="8" t="n">
        <v>7</v>
      </c>
      <c r="D263" s="8" t="n">
        <v>6</v>
      </c>
      <c r="E263" s="8" t="inlineStr">
        <is>
          <t>SULAWESI TENGAH</t>
        </is>
      </c>
      <c r="F263" s="8" t="inlineStr">
        <is>
          <t>KAB/KOTA CONTOH 7</t>
        </is>
      </c>
      <c r="G263" s="8" t="inlineStr">
        <is>
          <t>KEC CONTOH 7</t>
        </is>
      </c>
      <c r="H263" s="8" t="inlineStr">
        <is>
          <t>DESA CONTOH 26-006</t>
        </is>
      </c>
      <c r="I263" s="6" t="n">
        <v>2</v>
      </c>
      <c r="J263" s="9" t="n">
        <v>203289</v>
      </c>
    </row>
    <row r="264">
      <c r="A264" s="8" t="n">
        <v>36</v>
      </c>
      <c r="B264" s="8" t="n">
        <v>8</v>
      </c>
      <c r="C264" s="8" t="n">
        <v>8</v>
      </c>
      <c r="D264" s="8" t="n">
        <v>7</v>
      </c>
      <c r="E264" s="8" t="inlineStr">
        <is>
          <t>SULAWESI TENGAH</t>
        </is>
      </c>
      <c r="F264" s="8" t="inlineStr">
        <is>
          <t>KAB/KOTA CONTOH 8</t>
        </is>
      </c>
      <c r="G264" s="8" t="inlineStr">
        <is>
          <t>KEC CONTOH 8</t>
        </is>
      </c>
      <c r="H264" s="8" t="inlineStr">
        <is>
          <t>DESA CONTOH 26-007</t>
        </is>
      </c>
      <c r="I264" s="6" t="n">
        <v>2</v>
      </c>
      <c r="J264" s="9" t="n">
        <v>274716</v>
      </c>
    </row>
    <row r="265">
      <c r="A265" s="8" t="n">
        <v>36</v>
      </c>
      <c r="B265" s="8" t="n">
        <v>9</v>
      </c>
      <c r="C265" s="8" t="n">
        <v>9</v>
      </c>
      <c r="D265" s="8" t="n">
        <v>8</v>
      </c>
      <c r="E265" s="8" t="inlineStr">
        <is>
          <t>SULAWESI TENGAH</t>
        </is>
      </c>
      <c r="F265" s="8" t="inlineStr">
        <is>
          <t>KAB/KOTA CONTOH 9</t>
        </is>
      </c>
      <c r="G265" s="8" t="inlineStr">
        <is>
          <t>KEC CONTOH 9</t>
        </is>
      </c>
      <c r="H265" s="8" t="inlineStr">
        <is>
          <t>DESA CONTOH 26-008</t>
        </is>
      </c>
      <c r="I265" s="6" t="n">
        <v>2</v>
      </c>
      <c r="J265" s="9" t="n">
        <v>346142</v>
      </c>
    </row>
    <row r="266">
      <c r="A266" s="8" t="n">
        <v>36</v>
      </c>
      <c r="B266" s="8" t="n">
        <v>1</v>
      </c>
      <c r="C266" s="8" t="n">
        <v>10</v>
      </c>
      <c r="D266" s="8" t="n">
        <v>9</v>
      </c>
      <c r="E266" s="8" t="inlineStr">
        <is>
          <t>SULAWESI TENGAH</t>
        </is>
      </c>
      <c r="F266" s="8" t="inlineStr">
        <is>
          <t>KAB/KOTA CONTOH 1</t>
        </is>
      </c>
      <c r="G266" s="8" t="inlineStr">
        <is>
          <t>KEC CONTOH 10</t>
        </is>
      </c>
      <c r="H266" s="8" t="inlineStr">
        <is>
          <t>DESA CONTOH 26-009</t>
        </is>
      </c>
      <c r="I266" s="6" t="n">
        <v>2</v>
      </c>
      <c r="J266" s="9" t="n">
        <v>192301</v>
      </c>
    </row>
    <row r="267">
      <c r="A267" s="8" t="n">
        <v>36</v>
      </c>
      <c r="B267" s="8" t="n">
        <v>2</v>
      </c>
      <c r="C267" s="8" t="n">
        <v>11</v>
      </c>
      <c r="D267" s="8" t="n">
        <v>10</v>
      </c>
      <c r="E267" s="8" t="inlineStr">
        <is>
          <t>SULAWESI TENGAH</t>
        </is>
      </c>
      <c r="F267" s="8" t="inlineStr">
        <is>
          <t>KAB/KOTA CONTOH 2</t>
        </is>
      </c>
      <c r="G267" s="8" t="inlineStr">
        <is>
          <t>KEC CONTOH 11</t>
        </is>
      </c>
      <c r="H267" s="8" t="inlineStr">
        <is>
          <t>DESA CONTOH 26-010</t>
        </is>
      </c>
      <c r="I267" s="6" t="n">
        <v>2</v>
      </c>
      <c r="J267" s="9" t="n">
        <v>263727</v>
      </c>
    </row>
    <row r="268">
      <c r="A268" s="8" t="n">
        <v>36</v>
      </c>
      <c r="B268" s="8" t="n">
        <v>3</v>
      </c>
      <c r="C268" s="8" t="n">
        <v>12</v>
      </c>
      <c r="D268" s="8" t="n">
        <v>11</v>
      </c>
      <c r="E268" s="8" t="inlineStr">
        <is>
          <t>SULAWESI TENGAH</t>
        </is>
      </c>
      <c r="F268" s="8" t="inlineStr">
        <is>
          <t>KAB/KOTA CONTOH 3</t>
        </is>
      </c>
      <c r="G268" s="8" t="inlineStr">
        <is>
          <t>KEC CONTOH 12</t>
        </is>
      </c>
      <c r="H268" s="8" t="inlineStr">
        <is>
          <t>DESA CONTOH 26-011</t>
        </is>
      </c>
      <c r="I268" s="6" t="n">
        <v>2</v>
      </c>
      <c r="J268" s="9" t="n">
        <v>335153</v>
      </c>
    </row>
    <row r="269">
      <c r="A269" s="8" t="n">
        <v>37</v>
      </c>
      <c r="B269" s="8" t="n">
        <v>2</v>
      </c>
      <c r="C269" s="8" t="n">
        <v>2</v>
      </c>
      <c r="D269" s="8" t="n">
        <v>1</v>
      </c>
      <c r="E269" s="8" t="inlineStr">
        <is>
          <t>SULAWESI SELATAN</t>
        </is>
      </c>
      <c r="F269" s="8" t="inlineStr">
        <is>
          <t>KAB/KOTA CONTOH 2</t>
        </is>
      </c>
      <c r="G269" s="8" t="inlineStr">
        <is>
          <t>KEC CONTOH 2</t>
        </is>
      </c>
      <c r="H269" s="8" t="inlineStr">
        <is>
          <t>KELURAHAN CONTOH 27-001</t>
        </is>
      </c>
      <c r="I269" s="6" t="n">
        <v>1</v>
      </c>
      <c r="J269" s="9" t="n">
        <v>857706</v>
      </c>
    </row>
    <row r="270">
      <c r="A270" s="8" t="n">
        <v>37</v>
      </c>
      <c r="B270" s="8" t="n">
        <v>3</v>
      </c>
      <c r="C270" s="8" t="n">
        <v>3</v>
      </c>
      <c r="D270" s="8" t="n">
        <v>2</v>
      </c>
      <c r="E270" s="8" t="inlineStr">
        <is>
          <t>SULAWESI SELATAN</t>
        </is>
      </c>
      <c r="F270" s="8" t="inlineStr">
        <is>
          <t>KAB/KOTA CONTOH 3</t>
        </is>
      </c>
      <c r="G270" s="8" t="inlineStr">
        <is>
          <t>KEC CONTOH 3</t>
        </is>
      </c>
      <c r="H270" s="8" t="inlineStr">
        <is>
          <t>KELURAHAN CONTOH 27-002</t>
        </is>
      </c>
      <c r="I270" s="6" t="n">
        <v>1</v>
      </c>
      <c r="J270" s="9" t="n">
        <v>464005</v>
      </c>
    </row>
    <row r="271">
      <c r="A271" s="8" t="n">
        <v>37</v>
      </c>
      <c r="B271" s="8" t="n">
        <v>4</v>
      </c>
      <c r="C271" s="8" t="n">
        <v>4</v>
      </c>
      <c r="D271" s="8" t="n">
        <v>3</v>
      </c>
      <c r="E271" s="8" t="inlineStr">
        <is>
          <t>SULAWESI SELATAN</t>
        </is>
      </c>
      <c r="F271" s="8" t="inlineStr">
        <is>
          <t>KAB/KOTA CONTOH 4</t>
        </is>
      </c>
      <c r="G271" s="8" t="inlineStr">
        <is>
          <t>KEC CONTOH 4</t>
        </is>
      </c>
      <c r="H271" s="8" t="inlineStr">
        <is>
          <t>KELURAHAN CONTOH 27-003</t>
        </is>
      </c>
      <c r="I271" s="6" t="n">
        <v>1</v>
      </c>
      <c r="J271" s="9" t="n">
        <v>646794</v>
      </c>
    </row>
    <row r="272">
      <c r="A272" s="8" t="n">
        <v>37</v>
      </c>
      <c r="B272" s="8" t="n">
        <v>5</v>
      </c>
      <c r="C272" s="8" t="n">
        <v>5</v>
      </c>
      <c r="D272" s="8" t="n">
        <v>4</v>
      </c>
      <c r="E272" s="8" t="inlineStr">
        <is>
          <t>SULAWESI SELATAN</t>
        </is>
      </c>
      <c r="F272" s="8" t="inlineStr">
        <is>
          <t>KAB/KOTA CONTOH 5</t>
        </is>
      </c>
      <c r="G272" s="8" t="inlineStr">
        <is>
          <t>KEC CONTOH 5</t>
        </is>
      </c>
      <c r="H272" s="8" t="inlineStr">
        <is>
          <t>KELURAHAN CONTOH 27-004</t>
        </is>
      </c>
      <c r="I272" s="6" t="n">
        <v>1</v>
      </c>
      <c r="J272" s="9" t="n">
        <v>829584</v>
      </c>
    </row>
    <row r="273">
      <c r="A273" s="8" t="n">
        <v>37</v>
      </c>
      <c r="B273" s="8" t="n">
        <v>6</v>
      </c>
      <c r="C273" s="8" t="n">
        <v>6</v>
      </c>
      <c r="D273" s="8" t="n">
        <v>5</v>
      </c>
      <c r="E273" s="8" t="inlineStr">
        <is>
          <t>SULAWESI SELATAN</t>
        </is>
      </c>
      <c r="F273" s="8" t="inlineStr">
        <is>
          <t>KAB/KOTA CONTOH 6</t>
        </is>
      </c>
      <c r="G273" s="8" t="inlineStr">
        <is>
          <t>KEC CONTOH 6</t>
        </is>
      </c>
      <c r="H273" s="8" t="inlineStr">
        <is>
          <t>DESA CONTOH 27-005</t>
        </is>
      </c>
      <c r="I273" s="6" t="n">
        <v>2</v>
      </c>
      <c r="J273" s="9" t="n">
        <v>435883</v>
      </c>
    </row>
    <row r="274">
      <c r="A274" s="8" t="n">
        <v>37</v>
      </c>
      <c r="B274" s="8" t="n">
        <v>7</v>
      </c>
      <c r="C274" s="8" t="n">
        <v>7</v>
      </c>
      <c r="D274" s="8" t="n">
        <v>6</v>
      </c>
      <c r="E274" s="8" t="inlineStr">
        <is>
          <t>SULAWESI SELATAN</t>
        </is>
      </c>
      <c r="F274" s="8" t="inlineStr">
        <is>
          <t>KAB/KOTA CONTOH 7</t>
        </is>
      </c>
      <c r="G274" s="8" t="inlineStr">
        <is>
          <t>KEC CONTOH 7</t>
        </is>
      </c>
      <c r="H274" s="8" t="inlineStr">
        <is>
          <t>DESA CONTOH 27-006</t>
        </is>
      </c>
      <c r="I274" s="6" t="n">
        <v>2</v>
      </c>
      <c r="J274" s="9" t="n">
        <v>618673</v>
      </c>
    </row>
    <row r="275">
      <c r="A275" s="8" t="n">
        <v>37</v>
      </c>
      <c r="B275" s="8" t="n">
        <v>8</v>
      </c>
      <c r="C275" s="8" t="n">
        <v>8</v>
      </c>
      <c r="D275" s="8" t="n">
        <v>7</v>
      </c>
      <c r="E275" s="8" t="inlineStr">
        <is>
          <t>SULAWESI SELATAN</t>
        </is>
      </c>
      <c r="F275" s="8" t="inlineStr">
        <is>
          <t>KAB/KOTA CONTOH 8</t>
        </is>
      </c>
      <c r="G275" s="8" t="inlineStr">
        <is>
          <t>KEC CONTOH 8</t>
        </is>
      </c>
      <c r="H275" s="8" t="inlineStr">
        <is>
          <t>DESA CONTOH 27-007</t>
        </is>
      </c>
      <c r="I275" s="6" t="n">
        <v>2</v>
      </c>
      <c r="J275" s="9" t="n">
        <v>801463</v>
      </c>
    </row>
    <row r="276">
      <c r="A276" s="8" t="n">
        <v>37</v>
      </c>
      <c r="B276" s="8" t="n">
        <v>9</v>
      </c>
      <c r="C276" s="8" t="n">
        <v>9</v>
      </c>
      <c r="D276" s="8" t="n">
        <v>8</v>
      </c>
      <c r="E276" s="8" t="inlineStr">
        <is>
          <t>SULAWESI SELATAN</t>
        </is>
      </c>
      <c r="F276" s="8" t="inlineStr">
        <is>
          <t>KAB/KOTA CONTOH 9</t>
        </is>
      </c>
      <c r="G276" s="8" t="inlineStr">
        <is>
          <t>KEC CONTOH 9</t>
        </is>
      </c>
      <c r="H276" s="8" t="inlineStr">
        <is>
          <t>DESA CONTOH 27-008</t>
        </is>
      </c>
      <c r="I276" s="6" t="n">
        <v>2</v>
      </c>
      <c r="J276" s="9" t="n">
        <v>984253</v>
      </c>
    </row>
    <row r="277">
      <c r="A277" s="8" t="n">
        <v>37</v>
      </c>
      <c r="B277" s="8" t="n">
        <v>1</v>
      </c>
      <c r="C277" s="8" t="n">
        <v>10</v>
      </c>
      <c r="D277" s="8" t="n">
        <v>9</v>
      </c>
      <c r="E277" s="8" t="inlineStr">
        <is>
          <t>SULAWESI SELATAN</t>
        </is>
      </c>
      <c r="F277" s="8" t="inlineStr">
        <is>
          <t>KAB/KOTA CONTOH 1</t>
        </is>
      </c>
      <c r="G277" s="8" t="inlineStr">
        <is>
          <t>KEC CONTOH 10</t>
        </is>
      </c>
      <c r="H277" s="8" t="inlineStr">
        <is>
          <t>DESA CONTOH 27-009</t>
        </is>
      </c>
      <c r="I277" s="6" t="n">
        <v>2</v>
      </c>
      <c r="J277" s="9" t="n">
        <v>590551</v>
      </c>
    </row>
    <row r="278">
      <c r="A278" s="8" t="n">
        <v>37</v>
      </c>
      <c r="B278" s="8" t="n">
        <v>2</v>
      </c>
      <c r="C278" s="8" t="n">
        <v>11</v>
      </c>
      <c r="D278" s="8" t="n">
        <v>10</v>
      </c>
      <c r="E278" s="8" t="inlineStr">
        <is>
          <t>SULAWESI SELATAN</t>
        </is>
      </c>
      <c r="F278" s="8" t="inlineStr">
        <is>
          <t>KAB/KOTA CONTOH 2</t>
        </is>
      </c>
      <c r="G278" s="8" t="inlineStr">
        <is>
          <t>KEC CONTOH 11</t>
        </is>
      </c>
      <c r="H278" s="8" t="inlineStr">
        <is>
          <t>DESA CONTOH 27-010</t>
        </is>
      </c>
      <c r="I278" s="6" t="n">
        <v>2</v>
      </c>
      <c r="J278" s="9" t="n">
        <v>773341</v>
      </c>
    </row>
    <row r="279">
      <c r="A279" s="8" t="n">
        <v>37</v>
      </c>
      <c r="B279" s="8" t="n">
        <v>3</v>
      </c>
      <c r="C279" s="8" t="n">
        <v>12</v>
      </c>
      <c r="D279" s="8" t="n">
        <v>11</v>
      </c>
      <c r="E279" s="8" t="inlineStr">
        <is>
          <t>SULAWESI SELATAN</t>
        </is>
      </c>
      <c r="F279" s="8" t="inlineStr">
        <is>
          <t>KAB/KOTA CONTOH 3</t>
        </is>
      </c>
      <c r="G279" s="8" t="inlineStr">
        <is>
          <t>KEC CONTOH 12</t>
        </is>
      </c>
      <c r="H279" s="8" t="inlineStr">
        <is>
          <t>DESA CONTOH 27-011</t>
        </is>
      </c>
      <c r="I279" s="6" t="n">
        <v>2</v>
      </c>
      <c r="J279" s="9" t="n">
        <v>956131</v>
      </c>
    </row>
    <row r="280">
      <c r="A280" s="8" t="n">
        <v>37</v>
      </c>
      <c r="B280" s="8" t="n">
        <v>4</v>
      </c>
      <c r="C280" s="8" t="n">
        <v>13</v>
      </c>
      <c r="D280" s="8" t="n">
        <v>12</v>
      </c>
      <c r="E280" s="8" t="inlineStr">
        <is>
          <t>SULAWESI SELATAN</t>
        </is>
      </c>
      <c r="F280" s="8" t="inlineStr">
        <is>
          <t>KAB/KOTA CONTOH 4</t>
        </is>
      </c>
      <c r="G280" s="8" t="inlineStr">
        <is>
          <t>KEC CONTOH 13</t>
        </is>
      </c>
      <c r="H280" s="8" t="inlineStr">
        <is>
          <t>DESA CONTOH 27-012</t>
        </is>
      </c>
      <c r="I280" s="6" t="n">
        <v>2</v>
      </c>
      <c r="J280" s="9" t="n">
        <v>562430</v>
      </c>
    </row>
    <row r="281">
      <c r="A281" s="8" t="n">
        <v>37</v>
      </c>
      <c r="B281" s="8" t="n">
        <v>5</v>
      </c>
      <c r="C281" s="8" t="n">
        <v>14</v>
      </c>
      <c r="D281" s="8" t="n">
        <v>13</v>
      </c>
      <c r="E281" s="8" t="inlineStr">
        <is>
          <t>SULAWESI SELATAN</t>
        </is>
      </c>
      <c r="F281" s="8" t="inlineStr">
        <is>
          <t>KAB/KOTA CONTOH 5</t>
        </is>
      </c>
      <c r="G281" s="8" t="inlineStr">
        <is>
          <t>KEC CONTOH 14</t>
        </is>
      </c>
      <c r="H281" s="8" t="inlineStr">
        <is>
          <t>DESA CONTOH 27-013</t>
        </is>
      </c>
      <c r="I281" s="6" t="n">
        <v>2</v>
      </c>
      <c r="J281" s="9" t="n">
        <v>745220</v>
      </c>
    </row>
    <row r="282">
      <c r="A282" s="8" t="n">
        <v>38</v>
      </c>
      <c r="B282" s="8" t="n">
        <v>2</v>
      </c>
      <c r="C282" s="8" t="n">
        <v>2</v>
      </c>
      <c r="D282" s="8" t="n">
        <v>1</v>
      </c>
      <c r="E282" s="8" t="inlineStr">
        <is>
          <t>SULAWESI TENGGARA</t>
        </is>
      </c>
      <c r="F282" s="8" t="inlineStr">
        <is>
          <t>KAB/KOTA CONTOH 2</t>
        </is>
      </c>
      <c r="G282" s="8" t="inlineStr">
        <is>
          <t>KEC CONTOH 2</t>
        </is>
      </c>
      <c r="H282" s="8" t="inlineStr">
        <is>
          <t>KELURAHAN CONTOH 28-001</t>
        </is>
      </c>
      <c r="I282" s="6" t="n">
        <v>1</v>
      </c>
      <c r="J282" s="9" t="n">
        <v>241096</v>
      </c>
    </row>
    <row r="283">
      <c r="A283" s="8" t="n">
        <v>38</v>
      </c>
      <c r="B283" s="8" t="n">
        <v>3</v>
      </c>
      <c r="C283" s="8" t="n">
        <v>3</v>
      </c>
      <c r="D283" s="8" t="n">
        <v>2</v>
      </c>
      <c r="E283" s="8" t="inlineStr">
        <is>
          <t>SULAWESI TENGGARA</t>
        </is>
      </c>
      <c r="F283" s="8" t="inlineStr">
        <is>
          <t>KAB/KOTA CONTOH 3</t>
        </is>
      </c>
      <c r="G283" s="8" t="inlineStr">
        <is>
          <t>KEC CONTOH 3</t>
        </is>
      </c>
      <c r="H283" s="8" t="inlineStr">
        <is>
          <t>KELURAHAN CONTOH 28-002</t>
        </is>
      </c>
      <c r="I283" s="6" t="n">
        <v>1</v>
      </c>
      <c r="J283" s="9" t="n">
        <v>141821</v>
      </c>
    </row>
    <row r="284">
      <c r="A284" s="8" t="n">
        <v>38</v>
      </c>
      <c r="B284" s="8" t="n">
        <v>4</v>
      </c>
      <c r="C284" s="8" t="n">
        <v>4</v>
      </c>
      <c r="D284" s="8" t="n">
        <v>3</v>
      </c>
      <c r="E284" s="8" t="inlineStr">
        <is>
          <t>SULAWESI TENGGARA</t>
        </is>
      </c>
      <c r="F284" s="8" t="inlineStr">
        <is>
          <t>KAB/KOTA CONTOH 4</t>
        </is>
      </c>
      <c r="G284" s="8" t="inlineStr">
        <is>
          <t>KEC CONTOH 4</t>
        </is>
      </c>
      <c r="H284" s="8" t="inlineStr">
        <is>
          <t>KELURAHAN CONTOH 28-003</t>
        </is>
      </c>
      <c r="I284" s="6" t="n">
        <v>1</v>
      </c>
      <c r="J284" s="9" t="n">
        <v>187913</v>
      </c>
    </row>
    <row r="285">
      <c r="A285" s="8" t="n">
        <v>38</v>
      </c>
      <c r="B285" s="8" t="n">
        <v>5</v>
      </c>
      <c r="C285" s="8" t="n">
        <v>5</v>
      </c>
      <c r="D285" s="8" t="n">
        <v>4</v>
      </c>
      <c r="E285" s="8" t="inlineStr">
        <is>
          <t>SULAWESI TENGGARA</t>
        </is>
      </c>
      <c r="F285" s="8" t="inlineStr">
        <is>
          <t>KAB/KOTA CONTOH 5</t>
        </is>
      </c>
      <c r="G285" s="8" t="inlineStr">
        <is>
          <t>KEC CONTOH 5</t>
        </is>
      </c>
      <c r="H285" s="8" t="inlineStr">
        <is>
          <t>KELURAHAN CONTOH 28-004</t>
        </is>
      </c>
      <c r="I285" s="6" t="n">
        <v>1</v>
      </c>
      <c r="J285" s="9" t="n">
        <v>234005</v>
      </c>
    </row>
    <row r="286">
      <c r="A286" s="8" t="n">
        <v>38</v>
      </c>
      <c r="B286" s="8" t="n">
        <v>6</v>
      </c>
      <c r="C286" s="8" t="n">
        <v>6</v>
      </c>
      <c r="D286" s="8" t="n">
        <v>5</v>
      </c>
      <c r="E286" s="8" t="inlineStr">
        <is>
          <t>SULAWESI TENGGARA</t>
        </is>
      </c>
      <c r="F286" s="8" t="inlineStr">
        <is>
          <t>KAB/KOTA CONTOH 6</t>
        </is>
      </c>
      <c r="G286" s="8" t="inlineStr">
        <is>
          <t>KEC CONTOH 6</t>
        </is>
      </c>
      <c r="H286" s="8" t="inlineStr">
        <is>
          <t>KELURAHAN CONTOH 28-005</t>
        </is>
      </c>
      <c r="I286" s="6" t="n">
        <v>1</v>
      </c>
      <c r="J286" s="9" t="n">
        <v>134730</v>
      </c>
    </row>
    <row r="287">
      <c r="A287" s="8" t="n">
        <v>38</v>
      </c>
      <c r="B287" s="8" t="n">
        <v>7</v>
      </c>
      <c r="C287" s="8" t="n">
        <v>7</v>
      </c>
      <c r="D287" s="8" t="n">
        <v>6</v>
      </c>
      <c r="E287" s="8" t="inlineStr">
        <is>
          <t>SULAWESI TENGGARA</t>
        </is>
      </c>
      <c r="F287" s="8" t="inlineStr">
        <is>
          <t>KAB/KOTA CONTOH 7</t>
        </is>
      </c>
      <c r="G287" s="8" t="inlineStr">
        <is>
          <t>KEC CONTOH 7</t>
        </is>
      </c>
      <c r="H287" s="8" t="inlineStr">
        <is>
          <t>DESA CONTOH 28-006</t>
        </is>
      </c>
      <c r="I287" s="6" t="n">
        <v>2</v>
      </c>
      <c r="J287" s="9" t="n">
        <v>180822</v>
      </c>
    </row>
    <row r="288">
      <c r="A288" s="8" t="n">
        <v>38</v>
      </c>
      <c r="B288" s="8" t="n">
        <v>8</v>
      </c>
      <c r="C288" s="8" t="n">
        <v>8</v>
      </c>
      <c r="D288" s="8" t="n">
        <v>7</v>
      </c>
      <c r="E288" s="8" t="inlineStr">
        <is>
          <t>SULAWESI TENGGARA</t>
        </is>
      </c>
      <c r="F288" s="8" t="inlineStr">
        <is>
          <t>KAB/KOTA CONTOH 8</t>
        </is>
      </c>
      <c r="G288" s="8" t="inlineStr">
        <is>
          <t>KEC CONTOH 8</t>
        </is>
      </c>
      <c r="H288" s="8" t="inlineStr">
        <is>
          <t>DESA CONTOH 28-007</t>
        </is>
      </c>
      <c r="I288" s="6" t="n">
        <v>2</v>
      </c>
      <c r="J288" s="9" t="n">
        <v>226914</v>
      </c>
    </row>
    <row r="289">
      <c r="A289" s="8" t="n">
        <v>38</v>
      </c>
      <c r="B289" s="8" t="n">
        <v>9</v>
      </c>
      <c r="C289" s="8" t="n">
        <v>9</v>
      </c>
      <c r="D289" s="8" t="n">
        <v>8</v>
      </c>
      <c r="E289" s="8" t="inlineStr">
        <is>
          <t>SULAWESI TENGGARA</t>
        </is>
      </c>
      <c r="F289" s="8" t="inlineStr">
        <is>
          <t>KAB/KOTA CONTOH 9</t>
        </is>
      </c>
      <c r="G289" s="8" t="inlineStr">
        <is>
          <t>KEC CONTOH 9</t>
        </is>
      </c>
      <c r="H289" s="8" t="inlineStr">
        <is>
          <t>DESA CONTOH 28-008</t>
        </is>
      </c>
      <c r="I289" s="6" t="n">
        <v>2</v>
      </c>
      <c r="J289" s="9" t="n">
        <v>127639</v>
      </c>
    </row>
    <row r="290">
      <c r="A290" s="8" t="n">
        <v>38</v>
      </c>
      <c r="B290" s="8" t="n">
        <v>1</v>
      </c>
      <c r="C290" s="8" t="n">
        <v>10</v>
      </c>
      <c r="D290" s="8" t="n">
        <v>9</v>
      </c>
      <c r="E290" s="8" t="inlineStr">
        <is>
          <t>SULAWESI TENGGARA</t>
        </is>
      </c>
      <c r="F290" s="8" t="inlineStr">
        <is>
          <t>KAB/KOTA CONTOH 1</t>
        </is>
      </c>
      <c r="G290" s="8" t="inlineStr">
        <is>
          <t>KEC CONTOH 10</t>
        </is>
      </c>
      <c r="H290" s="8" t="inlineStr">
        <is>
          <t>DESA CONTOH 28-009</t>
        </is>
      </c>
      <c r="I290" s="6" t="n">
        <v>2</v>
      </c>
      <c r="J290" s="9" t="n">
        <v>173731</v>
      </c>
    </row>
    <row r="291">
      <c r="A291" s="8" t="n">
        <v>38</v>
      </c>
      <c r="B291" s="8" t="n">
        <v>2</v>
      </c>
      <c r="C291" s="8" t="n">
        <v>11</v>
      </c>
      <c r="D291" s="8" t="n">
        <v>10</v>
      </c>
      <c r="E291" s="8" t="inlineStr">
        <is>
          <t>SULAWESI TENGGARA</t>
        </is>
      </c>
      <c r="F291" s="8" t="inlineStr">
        <is>
          <t>KAB/KOTA CONTOH 2</t>
        </is>
      </c>
      <c r="G291" s="8" t="inlineStr">
        <is>
          <t>KEC CONTOH 11</t>
        </is>
      </c>
      <c r="H291" s="8" t="inlineStr">
        <is>
          <t>DESA CONTOH 28-010</t>
        </is>
      </c>
      <c r="I291" s="6" t="n">
        <v>2</v>
      </c>
      <c r="J291" s="9" t="n">
        <v>219823</v>
      </c>
    </row>
    <row r="292">
      <c r="A292" s="8" t="n">
        <v>38</v>
      </c>
      <c r="B292" s="8" t="n">
        <v>3</v>
      </c>
      <c r="C292" s="8" t="n">
        <v>12</v>
      </c>
      <c r="D292" s="8" t="n">
        <v>11</v>
      </c>
      <c r="E292" s="8" t="inlineStr">
        <is>
          <t>SULAWESI TENGGARA</t>
        </is>
      </c>
      <c r="F292" s="8" t="inlineStr">
        <is>
          <t>KAB/KOTA CONTOH 3</t>
        </is>
      </c>
      <c r="G292" s="8" t="inlineStr">
        <is>
          <t>KEC CONTOH 12</t>
        </is>
      </c>
      <c r="H292" s="8" t="inlineStr">
        <is>
          <t>DESA CONTOH 28-011</t>
        </is>
      </c>
      <c r="I292" s="6" t="n">
        <v>2</v>
      </c>
      <c r="J292" s="9" t="n">
        <v>120548</v>
      </c>
    </row>
    <row r="293">
      <c r="A293" s="8" t="n">
        <v>38</v>
      </c>
      <c r="B293" s="8" t="n">
        <v>4</v>
      </c>
      <c r="C293" s="8" t="n">
        <v>13</v>
      </c>
      <c r="D293" s="8" t="n">
        <v>12</v>
      </c>
      <c r="E293" s="8" t="inlineStr">
        <is>
          <t>SULAWESI TENGGARA</t>
        </is>
      </c>
      <c r="F293" s="8" t="inlineStr">
        <is>
          <t>KAB/KOTA CONTOH 4</t>
        </is>
      </c>
      <c r="G293" s="8" t="inlineStr">
        <is>
          <t>KEC CONTOH 13</t>
        </is>
      </c>
      <c r="H293" s="8" t="inlineStr">
        <is>
          <t>DESA CONTOH 28-012</t>
        </is>
      </c>
      <c r="I293" s="6" t="n">
        <v>2</v>
      </c>
      <c r="J293" s="9" t="n">
        <v>166640</v>
      </c>
    </row>
    <row r="294">
      <c r="A294" s="8" t="n">
        <v>38</v>
      </c>
      <c r="B294" s="8" t="n">
        <v>5</v>
      </c>
      <c r="C294" s="8" t="n">
        <v>14</v>
      </c>
      <c r="D294" s="8" t="n">
        <v>13</v>
      </c>
      <c r="E294" s="8" t="inlineStr">
        <is>
          <t>SULAWESI TENGGARA</t>
        </is>
      </c>
      <c r="F294" s="8" t="inlineStr">
        <is>
          <t>KAB/KOTA CONTOH 5</t>
        </is>
      </c>
      <c r="G294" s="8" t="inlineStr">
        <is>
          <t>KEC CONTOH 14</t>
        </is>
      </c>
      <c r="H294" s="8" t="inlineStr">
        <is>
          <t>DESA CONTOH 28-013</t>
        </is>
      </c>
      <c r="I294" s="6" t="n">
        <v>2</v>
      </c>
      <c r="J294" s="9" t="n">
        <v>212732</v>
      </c>
    </row>
    <row r="295">
      <c r="A295" s="8" t="n">
        <v>38</v>
      </c>
      <c r="B295" s="8" t="n">
        <v>6</v>
      </c>
      <c r="C295" s="8" t="n">
        <v>15</v>
      </c>
      <c r="D295" s="8" t="n">
        <v>14</v>
      </c>
      <c r="E295" s="8" t="inlineStr">
        <is>
          <t>SULAWESI TENGGARA</t>
        </is>
      </c>
      <c r="F295" s="8" t="inlineStr">
        <is>
          <t>KAB/KOTA CONTOH 6</t>
        </is>
      </c>
      <c r="G295" s="8" t="inlineStr">
        <is>
          <t>KEC CONTOH 15</t>
        </is>
      </c>
      <c r="H295" s="8" t="inlineStr">
        <is>
          <t>DESA CONTOH 28-014</t>
        </is>
      </c>
      <c r="I295" s="6" t="n">
        <v>2</v>
      </c>
      <c r="J295" s="9" t="n">
        <v>113457</v>
      </c>
    </row>
    <row r="296">
      <c r="A296" s="8" t="n">
        <v>38</v>
      </c>
      <c r="B296" s="8" t="n">
        <v>7</v>
      </c>
      <c r="C296" s="8" t="n">
        <v>16</v>
      </c>
      <c r="D296" s="8" t="n">
        <v>15</v>
      </c>
      <c r="E296" s="8" t="inlineStr">
        <is>
          <t>SULAWESI TENGGARA</t>
        </is>
      </c>
      <c r="F296" s="8" t="inlineStr">
        <is>
          <t>KAB/KOTA CONTOH 7</t>
        </is>
      </c>
      <c r="G296" s="8" t="inlineStr">
        <is>
          <t>KEC CONTOH 16</t>
        </is>
      </c>
      <c r="H296" s="8" t="inlineStr">
        <is>
          <t>DESA CONTOH 28-015</t>
        </is>
      </c>
      <c r="I296" s="6" t="n">
        <v>2</v>
      </c>
      <c r="J296" s="9" t="n">
        <v>159549</v>
      </c>
    </row>
    <row r="297">
      <c r="A297" s="8" t="n">
        <v>39</v>
      </c>
      <c r="B297" s="8" t="n">
        <v>2</v>
      </c>
      <c r="C297" s="8" t="n">
        <v>2</v>
      </c>
      <c r="D297" s="8" t="n">
        <v>1</v>
      </c>
      <c r="E297" s="8" t="inlineStr">
        <is>
          <t>GORONTALO</t>
        </is>
      </c>
      <c r="F297" s="8" t="inlineStr">
        <is>
          <t>KAB/KOTA CONTOH 2</t>
        </is>
      </c>
      <c r="G297" s="8" t="inlineStr">
        <is>
          <t>KEC CONTOH 2</t>
        </is>
      </c>
      <c r="H297" s="8" t="inlineStr">
        <is>
          <t>KELURAHAN CONTOH 29-001</t>
        </is>
      </c>
      <c r="I297" s="6" t="n">
        <v>1</v>
      </c>
      <c r="J297" s="9" t="n">
        <v>133840</v>
      </c>
    </row>
    <row r="298">
      <c r="A298" s="8" t="n">
        <v>39</v>
      </c>
      <c r="B298" s="8" t="n">
        <v>3</v>
      </c>
      <c r="C298" s="8" t="n">
        <v>3</v>
      </c>
      <c r="D298" s="8" t="n">
        <v>2</v>
      </c>
      <c r="E298" s="8" t="inlineStr">
        <is>
          <t>GORONTALO</t>
        </is>
      </c>
      <c r="F298" s="8" t="inlineStr">
        <is>
          <t>KAB/KOTA CONTOH 3</t>
        </is>
      </c>
      <c r="G298" s="8" t="inlineStr">
        <is>
          <t>KEC CONTOH 3</t>
        </is>
      </c>
      <c r="H298" s="8" t="inlineStr">
        <is>
          <t>KELURAHAN CONTOH 29-002</t>
        </is>
      </c>
      <c r="I298" s="6" t="n">
        <v>1</v>
      </c>
      <c r="J298" s="9" t="n">
        <v>185014</v>
      </c>
    </row>
    <row r="299">
      <c r="A299" s="8" t="n">
        <v>39</v>
      </c>
      <c r="B299" s="8" t="n">
        <v>4</v>
      </c>
      <c r="C299" s="8" t="n">
        <v>4</v>
      </c>
      <c r="D299" s="8" t="n">
        <v>3</v>
      </c>
      <c r="E299" s="8" t="inlineStr">
        <is>
          <t>GORONTALO</t>
        </is>
      </c>
      <c r="F299" s="8" t="inlineStr">
        <is>
          <t>KAB/KOTA CONTOH 4</t>
        </is>
      </c>
      <c r="G299" s="8" t="inlineStr">
        <is>
          <t>KEC CONTOH 4</t>
        </is>
      </c>
      <c r="H299" s="8" t="inlineStr">
        <is>
          <t>DESA CONTOH 29-003</t>
        </is>
      </c>
      <c r="I299" s="6" t="n">
        <v>2</v>
      </c>
      <c r="J299" s="9" t="n">
        <v>236188</v>
      </c>
    </row>
    <row r="300">
      <c r="A300" s="8" t="n">
        <v>39</v>
      </c>
      <c r="B300" s="8" t="n">
        <v>5</v>
      </c>
      <c r="C300" s="8" t="n">
        <v>5</v>
      </c>
      <c r="D300" s="8" t="n">
        <v>4</v>
      </c>
      <c r="E300" s="8" t="inlineStr">
        <is>
          <t>GORONTALO</t>
        </is>
      </c>
      <c r="F300" s="8" t="inlineStr">
        <is>
          <t>KAB/KOTA CONTOH 5</t>
        </is>
      </c>
      <c r="G300" s="8" t="inlineStr">
        <is>
          <t>KEC CONTOH 5</t>
        </is>
      </c>
      <c r="H300" s="8" t="inlineStr">
        <is>
          <t>DESA CONTOH 29-004</t>
        </is>
      </c>
      <c r="I300" s="6" t="n">
        <v>2</v>
      </c>
      <c r="J300" s="9" t="n">
        <v>125967</v>
      </c>
    </row>
    <row r="301">
      <c r="A301" s="8" t="n">
        <v>39</v>
      </c>
      <c r="B301" s="8" t="n">
        <v>6</v>
      </c>
      <c r="C301" s="8" t="n">
        <v>6</v>
      </c>
      <c r="D301" s="8" t="n">
        <v>5</v>
      </c>
      <c r="E301" s="8" t="inlineStr">
        <is>
          <t>GORONTALO</t>
        </is>
      </c>
      <c r="F301" s="8" t="inlineStr">
        <is>
          <t>KAB/KOTA CONTOH 6</t>
        </is>
      </c>
      <c r="G301" s="8" t="inlineStr">
        <is>
          <t>KEC CONTOH 6</t>
        </is>
      </c>
      <c r="H301" s="8" t="inlineStr">
        <is>
          <t>DESA CONTOH 29-005</t>
        </is>
      </c>
      <c r="I301" s="6" t="n">
        <v>2</v>
      </c>
      <c r="J301" s="9" t="n">
        <v>177141</v>
      </c>
    </row>
    <row r="302">
      <c r="A302" s="8" t="n">
        <v>39</v>
      </c>
      <c r="B302" s="8" t="n">
        <v>7</v>
      </c>
      <c r="C302" s="8" t="n">
        <v>7</v>
      </c>
      <c r="D302" s="8" t="n">
        <v>6</v>
      </c>
      <c r="E302" s="8" t="inlineStr">
        <is>
          <t>GORONTALO</t>
        </is>
      </c>
      <c r="F302" s="8" t="inlineStr">
        <is>
          <t>KAB/KOTA CONTOH 7</t>
        </is>
      </c>
      <c r="G302" s="8" t="inlineStr">
        <is>
          <t>KEC CONTOH 7</t>
        </is>
      </c>
      <c r="H302" s="8" t="inlineStr">
        <is>
          <t>DESA CONTOH 29-006</t>
        </is>
      </c>
      <c r="I302" s="6" t="n">
        <v>2</v>
      </c>
      <c r="J302" s="9" t="n">
        <v>228315</v>
      </c>
    </row>
    <row r="303">
      <c r="A303" s="8" t="n">
        <v>40</v>
      </c>
      <c r="B303" s="8" t="n">
        <v>2</v>
      </c>
      <c r="C303" s="8" t="n">
        <v>2</v>
      </c>
      <c r="D303" s="8" t="n">
        <v>1</v>
      </c>
      <c r="E303" s="8" t="inlineStr">
        <is>
          <t>SULAWESI BARAT</t>
        </is>
      </c>
      <c r="F303" s="8" t="inlineStr">
        <is>
          <t>KAB/KOTA CONTOH 2</t>
        </is>
      </c>
      <c r="G303" s="8" t="inlineStr">
        <is>
          <t>KEC CONTOH 2</t>
        </is>
      </c>
      <c r="H303" s="8" t="inlineStr">
        <is>
          <t>KELURAHAN CONTOH 30-001</t>
        </is>
      </c>
      <c r="I303" s="6" t="n">
        <v>1</v>
      </c>
      <c r="J303" s="9" t="n">
        <v>147276</v>
      </c>
    </row>
    <row r="304">
      <c r="A304" s="8" t="n">
        <v>40</v>
      </c>
      <c r="B304" s="8" t="n">
        <v>3</v>
      </c>
      <c r="C304" s="8" t="n">
        <v>3</v>
      </c>
      <c r="D304" s="8" t="n">
        <v>2</v>
      </c>
      <c r="E304" s="8" t="inlineStr">
        <is>
          <t>SULAWESI BARAT</t>
        </is>
      </c>
      <c r="F304" s="8" t="inlineStr">
        <is>
          <t>KAB/KOTA CONTOH 3</t>
        </is>
      </c>
      <c r="G304" s="8" t="inlineStr">
        <is>
          <t>KEC CONTOH 3</t>
        </is>
      </c>
      <c r="H304" s="8" t="inlineStr">
        <is>
          <t>KELURAHAN CONTOH 30-002</t>
        </is>
      </c>
      <c r="I304" s="6" t="n">
        <v>1</v>
      </c>
      <c r="J304" s="9" t="n">
        <v>193973</v>
      </c>
    </row>
    <row r="305">
      <c r="A305" s="8" t="n">
        <v>40</v>
      </c>
      <c r="B305" s="8" t="n">
        <v>4</v>
      </c>
      <c r="C305" s="8" t="n">
        <v>4</v>
      </c>
      <c r="D305" s="8" t="n">
        <v>3</v>
      </c>
      <c r="E305" s="8" t="inlineStr">
        <is>
          <t>SULAWESI BARAT</t>
        </is>
      </c>
      <c r="F305" s="8" t="inlineStr">
        <is>
          <t>KAB/KOTA CONTOH 4</t>
        </is>
      </c>
      <c r="G305" s="8" t="inlineStr">
        <is>
          <t>KEC CONTOH 4</t>
        </is>
      </c>
      <c r="H305" s="8" t="inlineStr">
        <is>
          <t>KELURAHAN CONTOH 30-003</t>
        </is>
      </c>
      <c r="I305" s="6" t="n">
        <v>1</v>
      </c>
      <c r="J305" s="9" t="n">
        <v>240670</v>
      </c>
    </row>
    <row r="306">
      <c r="A306" s="8" t="n">
        <v>40</v>
      </c>
      <c r="B306" s="8" t="n">
        <v>5</v>
      </c>
      <c r="C306" s="8" t="n">
        <v>5</v>
      </c>
      <c r="D306" s="8" t="n">
        <v>4</v>
      </c>
      <c r="E306" s="8" t="inlineStr">
        <is>
          <t>SULAWESI BARAT</t>
        </is>
      </c>
      <c r="F306" s="8" t="inlineStr">
        <is>
          <t>KAB/KOTA CONTOH 5</t>
        </is>
      </c>
      <c r="G306" s="8" t="inlineStr">
        <is>
          <t>KEC CONTOH 5</t>
        </is>
      </c>
      <c r="H306" s="8" t="inlineStr">
        <is>
          <t>DESA CONTOH 30-004</t>
        </is>
      </c>
      <c r="I306" s="6" t="n">
        <v>2</v>
      </c>
      <c r="J306" s="9" t="n">
        <v>140091</v>
      </c>
    </row>
    <row r="307">
      <c r="A307" s="8" t="n">
        <v>40</v>
      </c>
      <c r="B307" s="8" t="n">
        <v>6</v>
      </c>
      <c r="C307" s="8" t="n">
        <v>6</v>
      </c>
      <c r="D307" s="8" t="n">
        <v>5</v>
      </c>
      <c r="E307" s="8" t="inlineStr">
        <is>
          <t>SULAWESI BARAT</t>
        </is>
      </c>
      <c r="F307" s="8" t="inlineStr">
        <is>
          <t>KAB/KOTA CONTOH 6</t>
        </is>
      </c>
      <c r="G307" s="8" t="inlineStr">
        <is>
          <t>KEC CONTOH 6</t>
        </is>
      </c>
      <c r="H307" s="8" t="inlineStr">
        <is>
          <t>DESA CONTOH 30-005</t>
        </is>
      </c>
      <c r="I307" s="6" t="n">
        <v>2</v>
      </c>
      <c r="J307" s="9" t="n">
        <v>186789</v>
      </c>
    </row>
    <row r="308">
      <c r="A308" s="8" t="n">
        <v>40</v>
      </c>
      <c r="B308" s="8" t="n">
        <v>7</v>
      </c>
      <c r="C308" s="8" t="n">
        <v>7</v>
      </c>
      <c r="D308" s="8" t="n">
        <v>6</v>
      </c>
      <c r="E308" s="8" t="inlineStr">
        <is>
          <t>SULAWESI BARAT</t>
        </is>
      </c>
      <c r="F308" s="8" t="inlineStr">
        <is>
          <t>KAB/KOTA CONTOH 7</t>
        </is>
      </c>
      <c r="G308" s="8" t="inlineStr">
        <is>
          <t>KEC CONTOH 7</t>
        </is>
      </c>
      <c r="H308" s="8" t="inlineStr">
        <is>
          <t>DESA CONTOH 30-006</t>
        </is>
      </c>
      <c r="I308" s="6" t="n">
        <v>2</v>
      </c>
      <c r="J308" s="9" t="n">
        <v>233486</v>
      </c>
    </row>
    <row r="309">
      <c r="A309" s="8" t="n">
        <v>40</v>
      </c>
      <c r="B309" s="8" t="n">
        <v>8</v>
      </c>
      <c r="C309" s="8" t="n">
        <v>8</v>
      </c>
      <c r="D309" s="8" t="n">
        <v>7</v>
      </c>
      <c r="E309" s="8" t="inlineStr">
        <is>
          <t>SULAWESI BARAT</t>
        </is>
      </c>
      <c r="F309" s="8" t="inlineStr">
        <is>
          <t>KAB/KOTA CONTOH 8</t>
        </is>
      </c>
      <c r="G309" s="8" t="inlineStr">
        <is>
          <t>KEC CONTOH 8</t>
        </is>
      </c>
      <c r="H309" s="8" t="inlineStr">
        <is>
          <t>DESA CONTOH 30-007</t>
        </is>
      </c>
      <c r="I309" s="6" t="n">
        <v>2</v>
      </c>
      <c r="J309" s="9" t="n">
        <v>132907</v>
      </c>
    </row>
    <row r="310">
      <c r="A310" s="8" t="n">
        <v>40</v>
      </c>
      <c r="B310" s="8" t="n">
        <v>9</v>
      </c>
      <c r="C310" s="8" t="n">
        <v>9</v>
      </c>
      <c r="D310" s="8" t="n">
        <v>8</v>
      </c>
      <c r="E310" s="8" t="inlineStr">
        <is>
          <t>SULAWESI BARAT</t>
        </is>
      </c>
      <c r="F310" s="8" t="inlineStr">
        <is>
          <t>KAB/KOTA CONTOH 9</t>
        </is>
      </c>
      <c r="G310" s="8" t="inlineStr">
        <is>
          <t>KEC CONTOH 9</t>
        </is>
      </c>
      <c r="H310" s="8" t="inlineStr">
        <is>
          <t>DESA CONTOH 30-008</t>
        </is>
      </c>
      <c r="I310" s="6" t="n">
        <v>2</v>
      </c>
      <c r="J310" s="9" t="n">
        <v>179605</v>
      </c>
    </row>
    <row r="311">
      <c r="A311" s="8" t="n">
        <v>41</v>
      </c>
      <c r="B311" s="8" t="n">
        <v>2</v>
      </c>
      <c r="C311" s="8" t="n">
        <v>2</v>
      </c>
      <c r="D311" s="8" t="n">
        <v>1</v>
      </c>
      <c r="E311" s="8" t="inlineStr">
        <is>
          <t>MALUKU</t>
        </is>
      </c>
      <c r="F311" s="8" t="inlineStr">
        <is>
          <t>KAB/KOTA CONTOH 2</t>
        </is>
      </c>
      <c r="G311" s="8" t="inlineStr">
        <is>
          <t>KEC CONTOH 2</t>
        </is>
      </c>
      <c r="H311" s="8" t="inlineStr">
        <is>
          <t>KELURAHAN CONTOH 31-001</t>
        </is>
      </c>
      <c r="I311" s="6" t="n">
        <v>1</v>
      </c>
      <c r="J311" s="9" t="n">
        <v>178811</v>
      </c>
    </row>
    <row r="312">
      <c r="A312" s="8" t="n">
        <v>41</v>
      </c>
      <c r="B312" s="8" t="n">
        <v>3</v>
      </c>
      <c r="C312" s="8" t="n">
        <v>3</v>
      </c>
      <c r="D312" s="8" t="n">
        <v>2</v>
      </c>
      <c r="E312" s="8" t="inlineStr">
        <is>
          <t>MALUKU</t>
        </is>
      </c>
      <c r="F312" s="8" t="inlineStr">
        <is>
          <t>KAB/KOTA CONTOH 3</t>
        </is>
      </c>
      <c r="G312" s="8" t="inlineStr">
        <is>
          <t>KEC CONTOH 3</t>
        </is>
      </c>
      <c r="H312" s="8" t="inlineStr">
        <is>
          <t>KELURAHAN CONTOH 31-002</t>
        </is>
      </c>
      <c r="I312" s="6" t="n">
        <v>1</v>
      </c>
      <c r="J312" s="9" t="n">
        <v>227239</v>
      </c>
    </row>
    <row r="313">
      <c r="A313" s="8" t="n">
        <v>41</v>
      </c>
      <c r="B313" s="8" t="n">
        <v>4</v>
      </c>
      <c r="C313" s="8" t="n">
        <v>4</v>
      </c>
      <c r="D313" s="8" t="n">
        <v>3</v>
      </c>
      <c r="E313" s="8" t="inlineStr">
        <is>
          <t>MALUKU</t>
        </is>
      </c>
      <c r="F313" s="8" t="inlineStr">
        <is>
          <t>KAB/KOTA CONTOH 4</t>
        </is>
      </c>
      <c r="G313" s="8" t="inlineStr">
        <is>
          <t>KEC CONTOH 4</t>
        </is>
      </c>
      <c r="H313" s="8" t="inlineStr">
        <is>
          <t>KELURAHAN CONTOH 31-003</t>
        </is>
      </c>
      <c r="I313" s="6" t="n">
        <v>1</v>
      </c>
      <c r="J313" s="9" t="n">
        <v>122932</v>
      </c>
    </row>
    <row r="314">
      <c r="A314" s="8" t="n">
        <v>41</v>
      </c>
      <c r="B314" s="8" t="n">
        <v>5</v>
      </c>
      <c r="C314" s="8" t="n">
        <v>5</v>
      </c>
      <c r="D314" s="8" t="n">
        <v>4</v>
      </c>
      <c r="E314" s="8" t="inlineStr">
        <is>
          <t>MALUKU</t>
        </is>
      </c>
      <c r="F314" s="8" t="inlineStr">
        <is>
          <t>KAB/KOTA CONTOH 5</t>
        </is>
      </c>
      <c r="G314" s="8" t="inlineStr">
        <is>
          <t>KEC CONTOH 5</t>
        </is>
      </c>
      <c r="H314" s="8" t="inlineStr">
        <is>
          <t>KELURAHAN CONTOH 31-004</t>
        </is>
      </c>
      <c r="I314" s="6" t="n">
        <v>1</v>
      </c>
      <c r="J314" s="9" t="n">
        <v>171361</v>
      </c>
    </row>
    <row r="315">
      <c r="A315" s="8" t="n">
        <v>41</v>
      </c>
      <c r="B315" s="8" t="n">
        <v>6</v>
      </c>
      <c r="C315" s="8" t="n">
        <v>6</v>
      </c>
      <c r="D315" s="8" t="n">
        <v>5</v>
      </c>
      <c r="E315" s="8" t="inlineStr">
        <is>
          <t>MALUKU</t>
        </is>
      </c>
      <c r="F315" s="8" t="inlineStr">
        <is>
          <t>KAB/KOTA CONTOH 6</t>
        </is>
      </c>
      <c r="G315" s="8" t="inlineStr">
        <is>
          <t>KEC CONTOH 6</t>
        </is>
      </c>
      <c r="H315" s="8" t="inlineStr">
        <is>
          <t>DESA CONTOH 31-005</t>
        </is>
      </c>
      <c r="I315" s="6" t="n">
        <v>2</v>
      </c>
      <c r="J315" s="9" t="n">
        <v>219789</v>
      </c>
    </row>
    <row r="316">
      <c r="A316" s="8" t="n">
        <v>41</v>
      </c>
      <c r="B316" s="8" t="n">
        <v>7</v>
      </c>
      <c r="C316" s="8" t="n">
        <v>7</v>
      </c>
      <c r="D316" s="8" t="n">
        <v>6</v>
      </c>
      <c r="E316" s="8" t="inlineStr">
        <is>
          <t>MALUKU</t>
        </is>
      </c>
      <c r="F316" s="8" t="inlineStr">
        <is>
          <t>KAB/KOTA CONTOH 7</t>
        </is>
      </c>
      <c r="G316" s="8" t="inlineStr">
        <is>
          <t>KEC CONTOH 7</t>
        </is>
      </c>
      <c r="H316" s="8" t="inlineStr">
        <is>
          <t>DESA CONTOH 31-006</t>
        </is>
      </c>
      <c r="I316" s="6" t="n">
        <v>2</v>
      </c>
      <c r="J316" s="9" t="n">
        <v>115482</v>
      </c>
    </row>
    <row r="317">
      <c r="A317" s="8" t="n">
        <v>41</v>
      </c>
      <c r="B317" s="8" t="n">
        <v>8</v>
      </c>
      <c r="C317" s="8" t="n">
        <v>8</v>
      </c>
      <c r="D317" s="8" t="n">
        <v>7</v>
      </c>
      <c r="E317" s="8" t="inlineStr">
        <is>
          <t>MALUKU</t>
        </is>
      </c>
      <c r="F317" s="8" t="inlineStr">
        <is>
          <t>KAB/KOTA CONTOH 8</t>
        </is>
      </c>
      <c r="G317" s="8" t="inlineStr">
        <is>
          <t>KEC CONTOH 8</t>
        </is>
      </c>
      <c r="H317" s="8" t="inlineStr">
        <is>
          <t>DESA CONTOH 31-007</t>
        </is>
      </c>
      <c r="I317" s="6" t="n">
        <v>2</v>
      </c>
      <c r="J317" s="9" t="n">
        <v>163910</v>
      </c>
    </row>
    <row r="318">
      <c r="A318" s="8" t="n">
        <v>41</v>
      </c>
      <c r="B318" s="8" t="n">
        <v>9</v>
      </c>
      <c r="C318" s="8" t="n">
        <v>9</v>
      </c>
      <c r="D318" s="8" t="n">
        <v>8</v>
      </c>
      <c r="E318" s="8" t="inlineStr">
        <is>
          <t>MALUKU</t>
        </is>
      </c>
      <c r="F318" s="8" t="inlineStr">
        <is>
          <t>KAB/KOTA CONTOH 9</t>
        </is>
      </c>
      <c r="G318" s="8" t="inlineStr">
        <is>
          <t>KEC CONTOH 9</t>
        </is>
      </c>
      <c r="H318" s="8" t="inlineStr">
        <is>
          <t>DESA CONTOH 31-008</t>
        </is>
      </c>
      <c r="I318" s="6" t="n">
        <v>2</v>
      </c>
      <c r="J318" s="9" t="n">
        <v>212338</v>
      </c>
    </row>
    <row r="319">
      <c r="A319" s="8" t="n">
        <v>41</v>
      </c>
      <c r="B319" s="8" t="n">
        <v>1</v>
      </c>
      <c r="C319" s="8" t="n">
        <v>10</v>
      </c>
      <c r="D319" s="8" t="n">
        <v>9</v>
      </c>
      <c r="E319" s="8" t="inlineStr">
        <is>
          <t>MALUKU</t>
        </is>
      </c>
      <c r="F319" s="8" t="inlineStr">
        <is>
          <t>KAB/KOTA CONTOH 1</t>
        </is>
      </c>
      <c r="G319" s="8" t="inlineStr">
        <is>
          <t>KEC CONTOH 10</t>
        </is>
      </c>
      <c r="H319" s="8" t="inlineStr">
        <is>
          <t>DESA CONTOH 31-009</t>
        </is>
      </c>
      <c r="I319" s="6" t="n">
        <v>2</v>
      </c>
      <c r="J319" s="9" t="n">
        <v>260766</v>
      </c>
    </row>
    <row r="320">
      <c r="A320" s="8" t="n">
        <v>41</v>
      </c>
      <c r="B320" s="8" t="n">
        <v>2</v>
      </c>
      <c r="C320" s="8" t="n">
        <v>11</v>
      </c>
      <c r="D320" s="8" t="n">
        <v>10</v>
      </c>
      <c r="E320" s="8" t="inlineStr">
        <is>
          <t>MALUKU</t>
        </is>
      </c>
      <c r="F320" s="8" t="inlineStr">
        <is>
          <t>KAB/KOTA CONTOH 2</t>
        </is>
      </c>
      <c r="G320" s="8" t="inlineStr">
        <is>
          <t>KEC CONTOH 11</t>
        </is>
      </c>
      <c r="H320" s="8" t="inlineStr">
        <is>
          <t>DESA CONTOH 31-010</t>
        </is>
      </c>
      <c r="I320" s="6" t="n">
        <v>2</v>
      </c>
      <c r="J320" s="9" t="n">
        <v>156460</v>
      </c>
    </row>
    <row r="321">
      <c r="A321" s="8" t="n">
        <v>42</v>
      </c>
      <c r="B321" s="8" t="n">
        <v>2</v>
      </c>
      <c r="C321" s="8" t="n">
        <v>2</v>
      </c>
      <c r="D321" s="8" t="n">
        <v>1</v>
      </c>
      <c r="E321" s="8" t="inlineStr">
        <is>
          <t>MALUKU UTARA</t>
        </is>
      </c>
      <c r="F321" s="8" t="inlineStr">
        <is>
          <t>KAB/KOTA CONTOH 2</t>
        </is>
      </c>
      <c r="G321" s="8" t="inlineStr">
        <is>
          <t>KEC CONTOH 2</t>
        </is>
      </c>
      <c r="H321" s="8" t="inlineStr">
        <is>
          <t>KELURAHAN CONTOH 32-001</t>
        </is>
      </c>
      <c r="I321" s="6" t="n">
        <v>1</v>
      </c>
      <c r="J321" s="9" t="n">
        <v>119090</v>
      </c>
    </row>
    <row r="322">
      <c r="A322" s="8" t="n">
        <v>42</v>
      </c>
      <c r="B322" s="8" t="n">
        <v>3</v>
      </c>
      <c r="C322" s="8" t="n">
        <v>3</v>
      </c>
      <c r="D322" s="8" t="n">
        <v>2</v>
      </c>
      <c r="E322" s="8" t="inlineStr">
        <is>
          <t>MALUKU UTARA</t>
        </is>
      </c>
      <c r="F322" s="8" t="inlineStr">
        <is>
          <t>KAB/KOTA CONTOH 3</t>
        </is>
      </c>
      <c r="G322" s="8" t="inlineStr">
        <is>
          <t>KEC CONTOH 3</t>
        </is>
      </c>
      <c r="H322" s="8" t="inlineStr">
        <is>
          <t>KELURAHAN CONTOH 32-002</t>
        </is>
      </c>
      <c r="I322" s="6" t="n">
        <v>1</v>
      </c>
      <c r="J322" s="9" t="n">
        <v>147239</v>
      </c>
    </row>
    <row r="323">
      <c r="A323" s="8" t="n">
        <v>42</v>
      </c>
      <c r="B323" s="8" t="n">
        <v>4</v>
      </c>
      <c r="C323" s="8" t="n">
        <v>4</v>
      </c>
      <c r="D323" s="8" t="n">
        <v>3</v>
      </c>
      <c r="E323" s="8" t="inlineStr">
        <is>
          <t>MALUKU UTARA</t>
        </is>
      </c>
      <c r="F323" s="8" t="inlineStr">
        <is>
          <t>KAB/KOTA CONTOH 4</t>
        </is>
      </c>
      <c r="G323" s="8" t="inlineStr">
        <is>
          <t>KEC CONTOH 4</t>
        </is>
      </c>
      <c r="H323" s="8" t="inlineStr">
        <is>
          <t>KELURAHAN CONTOH 32-003</t>
        </is>
      </c>
      <c r="I323" s="6" t="n">
        <v>1</v>
      </c>
      <c r="J323" s="9" t="n">
        <v>86611</v>
      </c>
    </row>
    <row r="324">
      <c r="A324" s="8" t="n">
        <v>42</v>
      </c>
      <c r="B324" s="8" t="n">
        <v>5</v>
      </c>
      <c r="C324" s="8" t="n">
        <v>5</v>
      </c>
      <c r="D324" s="8" t="n">
        <v>4</v>
      </c>
      <c r="E324" s="8" t="inlineStr">
        <is>
          <t>MALUKU UTARA</t>
        </is>
      </c>
      <c r="F324" s="8" t="inlineStr">
        <is>
          <t>KAB/KOTA CONTOH 5</t>
        </is>
      </c>
      <c r="G324" s="8" t="inlineStr">
        <is>
          <t>KEC CONTOH 5</t>
        </is>
      </c>
      <c r="H324" s="8" t="inlineStr">
        <is>
          <t>KELURAHAN CONTOH 32-004</t>
        </is>
      </c>
      <c r="I324" s="6" t="n">
        <v>1</v>
      </c>
      <c r="J324" s="9" t="n">
        <v>114759</v>
      </c>
    </row>
    <row r="325">
      <c r="A325" s="8" t="n">
        <v>42</v>
      </c>
      <c r="B325" s="8" t="n">
        <v>6</v>
      </c>
      <c r="C325" s="8" t="n">
        <v>6</v>
      </c>
      <c r="D325" s="8" t="n">
        <v>5</v>
      </c>
      <c r="E325" s="8" t="inlineStr">
        <is>
          <t>MALUKU UTARA</t>
        </is>
      </c>
      <c r="F325" s="8" t="inlineStr">
        <is>
          <t>KAB/KOTA CONTOH 6</t>
        </is>
      </c>
      <c r="G325" s="8" t="inlineStr">
        <is>
          <t>KEC CONTOH 6</t>
        </is>
      </c>
      <c r="H325" s="8" t="inlineStr">
        <is>
          <t>KELURAHAN CONTOH 32-005</t>
        </is>
      </c>
      <c r="I325" s="6" t="n">
        <v>1</v>
      </c>
      <c r="J325" s="9" t="n">
        <v>142908</v>
      </c>
    </row>
    <row r="326">
      <c r="A326" s="8" t="n">
        <v>42</v>
      </c>
      <c r="B326" s="8" t="n">
        <v>7</v>
      </c>
      <c r="C326" s="8" t="n">
        <v>7</v>
      </c>
      <c r="D326" s="8" t="n">
        <v>6</v>
      </c>
      <c r="E326" s="8" t="inlineStr">
        <is>
          <t>MALUKU UTARA</t>
        </is>
      </c>
      <c r="F326" s="8" t="inlineStr">
        <is>
          <t>KAB/KOTA CONTOH 7</t>
        </is>
      </c>
      <c r="G326" s="8" t="inlineStr">
        <is>
          <t>KEC CONTOH 7</t>
        </is>
      </c>
      <c r="H326" s="8" t="inlineStr">
        <is>
          <t>DESA CONTOH 32-006</t>
        </is>
      </c>
      <c r="I326" s="6" t="n">
        <v>2</v>
      </c>
      <c r="J326" s="9" t="n">
        <v>82280</v>
      </c>
    </row>
    <row r="327">
      <c r="A327" s="8" t="n">
        <v>42</v>
      </c>
      <c r="B327" s="8" t="n">
        <v>8</v>
      </c>
      <c r="C327" s="8" t="n">
        <v>8</v>
      </c>
      <c r="D327" s="8" t="n">
        <v>7</v>
      </c>
      <c r="E327" s="8" t="inlineStr">
        <is>
          <t>MALUKU UTARA</t>
        </is>
      </c>
      <c r="F327" s="8" t="inlineStr">
        <is>
          <t>KAB/KOTA CONTOH 8</t>
        </is>
      </c>
      <c r="G327" s="8" t="inlineStr">
        <is>
          <t>KEC CONTOH 8</t>
        </is>
      </c>
      <c r="H327" s="8" t="inlineStr">
        <is>
          <t>DESA CONTOH 32-007</t>
        </is>
      </c>
      <c r="I327" s="6" t="n">
        <v>2</v>
      </c>
      <c r="J327" s="9" t="n">
        <v>110429</v>
      </c>
    </row>
    <row r="328">
      <c r="A328" s="8" t="n">
        <v>42</v>
      </c>
      <c r="B328" s="8" t="n">
        <v>9</v>
      </c>
      <c r="C328" s="8" t="n">
        <v>9</v>
      </c>
      <c r="D328" s="8" t="n">
        <v>8</v>
      </c>
      <c r="E328" s="8" t="inlineStr">
        <is>
          <t>MALUKU UTARA</t>
        </is>
      </c>
      <c r="F328" s="8" t="inlineStr">
        <is>
          <t>KAB/KOTA CONTOH 9</t>
        </is>
      </c>
      <c r="G328" s="8" t="inlineStr">
        <is>
          <t>KEC CONTOH 9</t>
        </is>
      </c>
      <c r="H328" s="8" t="inlineStr">
        <is>
          <t>DESA CONTOH 32-008</t>
        </is>
      </c>
      <c r="I328" s="6" t="n">
        <v>2</v>
      </c>
      <c r="J328" s="9" t="n">
        <v>138577</v>
      </c>
    </row>
    <row r="329">
      <c r="A329" s="8" t="n">
        <v>42</v>
      </c>
      <c r="B329" s="8" t="n">
        <v>1</v>
      </c>
      <c r="C329" s="8" t="n">
        <v>10</v>
      </c>
      <c r="D329" s="8" t="n">
        <v>9</v>
      </c>
      <c r="E329" s="8" t="inlineStr">
        <is>
          <t>MALUKU UTARA</t>
        </is>
      </c>
      <c r="F329" s="8" t="inlineStr">
        <is>
          <t>KAB/KOTA CONTOH 1</t>
        </is>
      </c>
      <c r="G329" s="8" t="inlineStr">
        <is>
          <t>KEC CONTOH 10</t>
        </is>
      </c>
      <c r="H329" s="8" t="inlineStr">
        <is>
          <t>DESA CONTOH 32-009</t>
        </is>
      </c>
      <c r="I329" s="6" t="n">
        <v>2</v>
      </c>
      <c r="J329" s="9" t="n">
        <v>77950</v>
      </c>
    </row>
    <row r="330">
      <c r="A330" s="8" t="n">
        <v>42</v>
      </c>
      <c r="B330" s="8" t="n">
        <v>2</v>
      </c>
      <c r="C330" s="8" t="n">
        <v>11</v>
      </c>
      <c r="D330" s="8" t="n">
        <v>10</v>
      </c>
      <c r="E330" s="8" t="inlineStr">
        <is>
          <t>MALUKU UTARA</t>
        </is>
      </c>
      <c r="F330" s="8" t="inlineStr">
        <is>
          <t>KAB/KOTA CONTOH 2</t>
        </is>
      </c>
      <c r="G330" s="8" t="inlineStr">
        <is>
          <t>KEC CONTOH 11</t>
        </is>
      </c>
      <c r="H330" s="8" t="inlineStr">
        <is>
          <t>DESA CONTOH 32-010</t>
        </is>
      </c>
      <c r="I330" s="6" t="n">
        <v>2</v>
      </c>
      <c r="J330" s="9" t="n">
        <v>106098</v>
      </c>
    </row>
    <row r="331">
      <c r="A331" s="8" t="n">
        <v>42</v>
      </c>
      <c r="B331" s="8" t="n">
        <v>3</v>
      </c>
      <c r="C331" s="8" t="n">
        <v>12</v>
      </c>
      <c r="D331" s="8" t="n">
        <v>11</v>
      </c>
      <c r="E331" s="8" t="inlineStr">
        <is>
          <t>MALUKU UTARA</t>
        </is>
      </c>
      <c r="F331" s="8" t="inlineStr">
        <is>
          <t>KAB/KOTA CONTOH 3</t>
        </is>
      </c>
      <c r="G331" s="8" t="inlineStr">
        <is>
          <t>KEC CONTOH 12</t>
        </is>
      </c>
      <c r="H331" s="8" t="inlineStr">
        <is>
          <t>DESA CONTOH 32-011</t>
        </is>
      </c>
      <c r="I331" s="6" t="n">
        <v>2</v>
      </c>
      <c r="J331" s="9" t="n">
        <v>134247</v>
      </c>
    </row>
    <row r="332">
      <c r="A332" s="8" t="n">
        <v>42</v>
      </c>
      <c r="B332" s="8" t="n">
        <v>4</v>
      </c>
      <c r="C332" s="8" t="n">
        <v>13</v>
      </c>
      <c r="D332" s="8" t="n">
        <v>12</v>
      </c>
      <c r="E332" s="8" t="inlineStr">
        <is>
          <t>MALUKU UTARA</t>
        </is>
      </c>
      <c r="F332" s="8" t="inlineStr">
        <is>
          <t>KAB/KOTA CONTOH 4</t>
        </is>
      </c>
      <c r="G332" s="8" t="inlineStr">
        <is>
          <t>KEC CONTOH 13</t>
        </is>
      </c>
      <c r="H332" s="8" t="inlineStr">
        <is>
          <t>DESA CONTOH 32-012</t>
        </is>
      </c>
      <c r="I332" s="6" t="n">
        <v>2</v>
      </c>
      <c r="J332" s="9" t="n">
        <v>73619</v>
      </c>
    </row>
    <row r="333">
      <c r="A333" s="8" t="n">
        <v>43</v>
      </c>
      <c r="B333" s="8" t="n">
        <v>2</v>
      </c>
      <c r="C333" s="8" t="n">
        <v>2</v>
      </c>
      <c r="D333" s="8" t="n">
        <v>1</v>
      </c>
      <c r="E333" s="8" t="inlineStr">
        <is>
          <t>PAPUA BARAT</t>
        </is>
      </c>
      <c r="F333" s="8" t="inlineStr">
        <is>
          <t>KAB/KOTA CONTOH 2</t>
        </is>
      </c>
      <c r="G333" s="8" t="inlineStr">
        <is>
          <t>KEC CONTOH 2</t>
        </is>
      </c>
      <c r="H333" s="8" t="inlineStr">
        <is>
          <t>KELURAHAN CONTOH 33-001</t>
        </is>
      </c>
      <c r="I333" s="6" t="n">
        <v>1</v>
      </c>
      <c r="J333" s="9" t="n">
        <v>72313</v>
      </c>
    </row>
    <row r="334">
      <c r="A334" s="8" t="n">
        <v>43</v>
      </c>
      <c r="B334" s="8" t="n">
        <v>3</v>
      </c>
      <c r="C334" s="8" t="n">
        <v>3</v>
      </c>
      <c r="D334" s="8" t="n">
        <v>2</v>
      </c>
      <c r="E334" s="8" t="inlineStr">
        <is>
          <t>PAPUA BARAT</t>
        </is>
      </c>
      <c r="F334" s="8" t="inlineStr">
        <is>
          <t>KAB/KOTA CONTOH 3</t>
        </is>
      </c>
      <c r="G334" s="8" t="inlineStr">
        <is>
          <t>KEC CONTOH 3</t>
        </is>
      </c>
      <c r="H334" s="8" t="inlineStr">
        <is>
          <t>KELURAHAN CONTOH 33-002</t>
        </is>
      </c>
      <c r="I334" s="6" t="n">
        <v>1</v>
      </c>
      <c r="J334" s="9" t="n">
        <v>39655</v>
      </c>
    </row>
    <row r="335">
      <c r="A335" s="8" t="n">
        <v>43</v>
      </c>
      <c r="B335" s="8" t="n">
        <v>4</v>
      </c>
      <c r="C335" s="8" t="n">
        <v>4</v>
      </c>
      <c r="D335" s="8" t="n">
        <v>3</v>
      </c>
      <c r="E335" s="8" t="inlineStr">
        <is>
          <t>PAPUA BARAT</t>
        </is>
      </c>
      <c r="F335" s="8" t="inlineStr">
        <is>
          <t>KAB/KOTA CONTOH 4</t>
        </is>
      </c>
      <c r="G335" s="8" t="inlineStr">
        <is>
          <t>KEC CONTOH 4</t>
        </is>
      </c>
      <c r="H335" s="8" t="inlineStr">
        <is>
          <t>DESA CONTOH 33-003</t>
        </is>
      </c>
      <c r="I335" s="6" t="n">
        <v>2</v>
      </c>
      <c r="J335" s="9" t="n">
        <v>54817</v>
      </c>
    </row>
    <row r="336">
      <c r="A336" s="8" t="n">
        <v>43</v>
      </c>
      <c r="B336" s="8" t="n">
        <v>5</v>
      </c>
      <c r="C336" s="8" t="n">
        <v>5</v>
      </c>
      <c r="D336" s="8" t="n">
        <v>4</v>
      </c>
      <c r="E336" s="8" t="inlineStr">
        <is>
          <t>PAPUA BARAT</t>
        </is>
      </c>
      <c r="F336" s="8" t="inlineStr">
        <is>
          <t>KAB/KOTA CONTOH 5</t>
        </is>
      </c>
      <c r="G336" s="8" t="inlineStr">
        <is>
          <t>KEC CONTOH 5</t>
        </is>
      </c>
      <c r="H336" s="8" t="inlineStr">
        <is>
          <t>DESA CONTOH 33-004</t>
        </is>
      </c>
      <c r="I336" s="6" t="n">
        <v>2</v>
      </c>
      <c r="J336" s="9" t="n">
        <v>69980</v>
      </c>
    </row>
    <row r="337">
      <c r="A337" s="8" t="n">
        <v>43</v>
      </c>
      <c r="B337" s="8" t="n">
        <v>6</v>
      </c>
      <c r="C337" s="8" t="n">
        <v>6</v>
      </c>
      <c r="D337" s="8" t="n">
        <v>5</v>
      </c>
      <c r="E337" s="8" t="inlineStr">
        <is>
          <t>PAPUA BARAT</t>
        </is>
      </c>
      <c r="F337" s="8" t="inlineStr">
        <is>
          <t>KAB/KOTA CONTOH 6</t>
        </is>
      </c>
      <c r="G337" s="8" t="inlineStr">
        <is>
          <t>KEC CONTOH 6</t>
        </is>
      </c>
      <c r="H337" s="8" t="inlineStr">
        <is>
          <t>DESA CONTOH 33-005</t>
        </is>
      </c>
      <c r="I337" s="6" t="n">
        <v>2</v>
      </c>
      <c r="J337" s="9" t="n">
        <v>37322</v>
      </c>
    </row>
    <row r="338">
      <c r="A338" s="8" t="n">
        <v>43</v>
      </c>
      <c r="B338" s="8" t="n">
        <v>7</v>
      </c>
      <c r="C338" s="8" t="n">
        <v>7</v>
      </c>
      <c r="D338" s="8" t="n">
        <v>6</v>
      </c>
      <c r="E338" s="8" t="inlineStr">
        <is>
          <t>PAPUA BARAT</t>
        </is>
      </c>
      <c r="F338" s="8" t="inlineStr">
        <is>
          <t>KAB/KOTA CONTOH 7</t>
        </is>
      </c>
      <c r="G338" s="8" t="inlineStr">
        <is>
          <t>KEC CONTOH 7</t>
        </is>
      </c>
      <c r="H338" s="8" t="inlineStr">
        <is>
          <t>DESA CONTOH 33-006</t>
        </is>
      </c>
      <c r="I338" s="6" t="n">
        <v>2</v>
      </c>
      <c r="J338" s="9" t="n">
        <v>52485</v>
      </c>
    </row>
    <row r="339">
      <c r="A339" s="8" t="n">
        <v>43</v>
      </c>
      <c r="B339" s="8" t="n">
        <v>8</v>
      </c>
      <c r="C339" s="8" t="n">
        <v>8</v>
      </c>
      <c r="D339" s="8" t="n">
        <v>7</v>
      </c>
      <c r="E339" s="8" t="inlineStr">
        <is>
          <t>PAPUA BARAT</t>
        </is>
      </c>
      <c r="F339" s="8" t="inlineStr">
        <is>
          <t>KAB/KOTA CONTOH 8</t>
        </is>
      </c>
      <c r="G339" s="8" t="inlineStr">
        <is>
          <t>KEC CONTOH 8</t>
        </is>
      </c>
      <c r="H339" s="8" t="inlineStr">
        <is>
          <t>DESA CONTOH 33-007</t>
        </is>
      </c>
      <c r="I339" s="6" t="n">
        <v>2</v>
      </c>
      <c r="J339" s="9" t="n">
        <v>67647</v>
      </c>
    </row>
    <row r="340">
      <c r="A340" s="8" t="n">
        <v>43</v>
      </c>
      <c r="B340" s="8" t="n">
        <v>9</v>
      </c>
      <c r="C340" s="8" t="n">
        <v>9</v>
      </c>
      <c r="D340" s="8" t="n">
        <v>8</v>
      </c>
      <c r="E340" s="8" t="inlineStr">
        <is>
          <t>PAPUA BARAT</t>
        </is>
      </c>
      <c r="F340" s="8" t="inlineStr">
        <is>
          <t>KAB/KOTA CONTOH 9</t>
        </is>
      </c>
      <c r="G340" s="8" t="inlineStr">
        <is>
          <t>KEC CONTOH 9</t>
        </is>
      </c>
      <c r="H340" s="8" t="inlineStr">
        <is>
          <t>DESA CONTOH 33-008</t>
        </is>
      </c>
      <c r="I340" s="6" t="n">
        <v>2</v>
      </c>
      <c r="J340" s="9" t="n">
        <v>34990</v>
      </c>
    </row>
    <row r="341">
      <c r="A341" s="8" t="n">
        <v>43</v>
      </c>
      <c r="B341" s="8" t="n">
        <v>1</v>
      </c>
      <c r="C341" s="8" t="n">
        <v>10</v>
      </c>
      <c r="D341" s="8" t="n">
        <v>9</v>
      </c>
      <c r="E341" s="8" t="inlineStr">
        <is>
          <t>PAPUA BARAT</t>
        </is>
      </c>
      <c r="F341" s="8" t="inlineStr">
        <is>
          <t>KAB/KOTA CONTOH 1</t>
        </is>
      </c>
      <c r="G341" s="8" t="inlineStr">
        <is>
          <t>KEC CONTOH 10</t>
        </is>
      </c>
      <c r="H341" s="8" t="inlineStr">
        <is>
          <t>DESA CONTOH 33-009</t>
        </is>
      </c>
      <c r="I341" s="6" t="n">
        <v>2</v>
      </c>
      <c r="J341" s="9" t="n">
        <v>50152</v>
      </c>
    </row>
    <row r="342">
      <c r="A342" s="8" t="n">
        <v>43</v>
      </c>
      <c r="B342" s="8" t="n">
        <v>2</v>
      </c>
      <c r="C342" s="8" t="n">
        <v>11</v>
      </c>
      <c r="D342" s="8" t="n">
        <v>10</v>
      </c>
      <c r="E342" s="8" t="inlineStr">
        <is>
          <t>PAPUA BARAT</t>
        </is>
      </c>
      <c r="F342" s="8" t="inlineStr">
        <is>
          <t>KAB/KOTA CONTOH 2</t>
        </is>
      </c>
      <c r="G342" s="8" t="inlineStr">
        <is>
          <t>KEC CONTOH 11</t>
        </is>
      </c>
      <c r="H342" s="8" t="inlineStr">
        <is>
          <t>DESA CONTOH 33-010</t>
        </is>
      </c>
      <c r="I342" s="6" t="n">
        <v>2</v>
      </c>
      <c r="J342" s="9" t="n">
        <v>65315</v>
      </c>
    </row>
    <row r="343">
      <c r="A343" s="8" t="n">
        <v>44</v>
      </c>
      <c r="B343" s="8" t="n">
        <v>2</v>
      </c>
      <c r="C343" s="8" t="n">
        <v>2</v>
      </c>
      <c r="D343" s="8" t="n">
        <v>1</v>
      </c>
      <c r="E343" s="8" t="inlineStr">
        <is>
          <t>PAPUA</t>
        </is>
      </c>
      <c r="F343" s="8" t="inlineStr">
        <is>
          <t>KAB/KOTA CONTOH 2</t>
        </is>
      </c>
      <c r="G343" s="8" t="inlineStr">
        <is>
          <t>KEC CONTOH 2</t>
        </is>
      </c>
      <c r="H343" s="8" t="inlineStr">
        <is>
          <t>KELURAHAN CONTOH 34-001</t>
        </is>
      </c>
      <c r="I343" s="6" t="n">
        <v>1</v>
      </c>
      <c r="J343" s="9" t="n">
        <v>117320</v>
      </c>
    </row>
    <row r="344">
      <c r="A344" s="8" t="n">
        <v>44</v>
      </c>
      <c r="B344" s="8" t="n">
        <v>3</v>
      </c>
      <c r="C344" s="8" t="n">
        <v>3</v>
      </c>
      <c r="D344" s="8" t="n">
        <v>2</v>
      </c>
      <c r="E344" s="8" t="inlineStr">
        <is>
          <t>PAPUA</t>
        </is>
      </c>
      <c r="F344" s="8" t="inlineStr">
        <is>
          <t>KAB/KOTA CONTOH 3</t>
        </is>
      </c>
      <c r="G344" s="8" t="inlineStr">
        <is>
          <t>KEC CONTOH 3</t>
        </is>
      </c>
      <c r="H344" s="8" t="inlineStr">
        <is>
          <t>KELURAHAN CONTOH 34-002</t>
        </is>
      </c>
      <c r="I344" s="6" t="n">
        <v>1</v>
      </c>
      <c r="J344" s="9" t="n">
        <v>69712</v>
      </c>
    </row>
    <row r="345">
      <c r="A345" s="8" t="n">
        <v>44</v>
      </c>
      <c r="B345" s="8" t="n">
        <v>4</v>
      </c>
      <c r="C345" s="8" t="n">
        <v>4</v>
      </c>
      <c r="D345" s="8" t="n">
        <v>3</v>
      </c>
      <c r="E345" s="8" t="inlineStr">
        <is>
          <t>PAPUA</t>
        </is>
      </c>
      <c r="F345" s="8" t="inlineStr">
        <is>
          <t>KAB/KOTA CONTOH 4</t>
        </is>
      </c>
      <c r="G345" s="8" t="inlineStr">
        <is>
          <t>KEC CONTOH 4</t>
        </is>
      </c>
      <c r="H345" s="8" t="inlineStr">
        <is>
          <t>KELURAHAN CONTOH 34-003</t>
        </is>
      </c>
      <c r="I345" s="6" t="n">
        <v>1</v>
      </c>
      <c r="J345" s="9" t="n">
        <v>91816</v>
      </c>
    </row>
    <row r="346">
      <c r="A346" s="8" t="n">
        <v>44</v>
      </c>
      <c r="B346" s="8" t="n">
        <v>5</v>
      </c>
      <c r="C346" s="8" t="n">
        <v>5</v>
      </c>
      <c r="D346" s="8" t="n">
        <v>4</v>
      </c>
      <c r="E346" s="8" t="inlineStr">
        <is>
          <t>PAPUA</t>
        </is>
      </c>
      <c r="F346" s="8" t="inlineStr">
        <is>
          <t>KAB/KOTA CONTOH 5</t>
        </is>
      </c>
      <c r="G346" s="8" t="inlineStr">
        <is>
          <t>KEC CONTOH 5</t>
        </is>
      </c>
      <c r="H346" s="8" t="inlineStr">
        <is>
          <t>DESA CONTOH 34-004</t>
        </is>
      </c>
      <c r="I346" s="6" t="n">
        <v>2</v>
      </c>
      <c r="J346" s="9" t="n">
        <v>113920</v>
      </c>
    </row>
    <row r="347">
      <c r="A347" s="8" t="n">
        <v>44</v>
      </c>
      <c r="B347" s="8" t="n">
        <v>6</v>
      </c>
      <c r="C347" s="8" t="n">
        <v>6</v>
      </c>
      <c r="D347" s="8" t="n">
        <v>5</v>
      </c>
      <c r="E347" s="8" t="inlineStr">
        <is>
          <t>PAPUA</t>
        </is>
      </c>
      <c r="F347" s="8" t="inlineStr">
        <is>
          <t>KAB/KOTA CONTOH 6</t>
        </is>
      </c>
      <c r="G347" s="8" t="inlineStr">
        <is>
          <t>KEC CONTOH 6</t>
        </is>
      </c>
      <c r="H347" s="8" t="inlineStr">
        <is>
          <t>DESA CONTOH 34-005</t>
        </is>
      </c>
      <c r="I347" s="6" t="n">
        <v>2</v>
      </c>
      <c r="J347" s="9" t="n">
        <v>66311</v>
      </c>
    </row>
    <row r="348">
      <c r="A348" s="8" t="n">
        <v>44</v>
      </c>
      <c r="B348" s="8" t="n">
        <v>7</v>
      </c>
      <c r="C348" s="8" t="n">
        <v>7</v>
      </c>
      <c r="D348" s="8" t="n">
        <v>6</v>
      </c>
      <c r="E348" s="8" t="inlineStr">
        <is>
          <t>PAPUA</t>
        </is>
      </c>
      <c r="F348" s="8" t="inlineStr">
        <is>
          <t>KAB/KOTA CONTOH 7</t>
        </is>
      </c>
      <c r="G348" s="8" t="inlineStr">
        <is>
          <t>KEC CONTOH 7</t>
        </is>
      </c>
      <c r="H348" s="8" t="inlineStr">
        <is>
          <t>DESA CONTOH 34-006</t>
        </is>
      </c>
      <c r="I348" s="6" t="n">
        <v>2</v>
      </c>
      <c r="J348" s="9" t="n">
        <v>88415</v>
      </c>
    </row>
    <row r="349">
      <c r="A349" s="8" t="n">
        <v>44</v>
      </c>
      <c r="B349" s="8" t="n">
        <v>8</v>
      </c>
      <c r="C349" s="8" t="n">
        <v>8</v>
      </c>
      <c r="D349" s="8" t="n">
        <v>7</v>
      </c>
      <c r="E349" s="8" t="inlineStr">
        <is>
          <t>PAPUA</t>
        </is>
      </c>
      <c r="F349" s="8" t="inlineStr">
        <is>
          <t>KAB/KOTA CONTOH 8</t>
        </is>
      </c>
      <c r="G349" s="8" t="inlineStr">
        <is>
          <t>KEC CONTOH 8</t>
        </is>
      </c>
      <c r="H349" s="8" t="inlineStr">
        <is>
          <t>DESA CONTOH 34-007</t>
        </is>
      </c>
      <c r="I349" s="6" t="n">
        <v>2</v>
      </c>
      <c r="J349" s="9" t="n">
        <v>110519</v>
      </c>
    </row>
    <row r="350">
      <c r="A350" s="8" t="n">
        <v>44</v>
      </c>
      <c r="B350" s="8" t="n">
        <v>9</v>
      </c>
      <c r="C350" s="8" t="n">
        <v>9</v>
      </c>
      <c r="D350" s="8" t="n">
        <v>8</v>
      </c>
      <c r="E350" s="8" t="inlineStr">
        <is>
          <t>PAPUA</t>
        </is>
      </c>
      <c r="F350" s="8" t="inlineStr">
        <is>
          <t>KAB/KOTA CONTOH 9</t>
        </is>
      </c>
      <c r="G350" s="8" t="inlineStr">
        <is>
          <t>KEC CONTOH 9</t>
        </is>
      </c>
      <c r="H350" s="8" t="inlineStr">
        <is>
          <t>DESA CONTOH 34-008</t>
        </is>
      </c>
      <c r="I350" s="6" t="n">
        <v>2</v>
      </c>
      <c r="J350" s="9" t="n">
        <v>62911</v>
      </c>
    </row>
    <row r="351">
      <c r="A351" s="8" t="n">
        <v>44</v>
      </c>
      <c r="B351" s="8" t="n">
        <v>1</v>
      </c>
      <c r="C351" s="8" t="n">
        <v>10</v>
      </c>
      <c r="D351" s="8" t="n">
        <v>9</v>
      </c>
      <c r="E351" s="8" t="inlineStr">
        <is>
          <t>PAPUA</t>
        </is>
      </c>
      <c r="F351" s="8" t="inlineStr">
        <is>
          <t>KAB/KOTA CONTOH 1</t>
        </is>
      </c>
      <c r="G351" s="8" t="inlineStr">
        <is>
          <t>KEC CONTOH 10</t>
        </is>
      </c>
      <c r="H351" s="8" t="inlineStr">
        <is>
          <t>DESA CONTOH 34-009</t>
        </is>
      </c>
      <c r="I351" s="6" t="n">
        <v>2</v>
      </c>
      <c r="J351" s="9" t="n">
        <v>85015</v>
      </c>
    </row>
    <row r="352">
      <c r="A352" s="8" t="n">
        <v>44</v>
      </c>
      <c r="B352" s="8" t="n">
        <v>2</v>
      </c>
      <c r="C352" s="8" t="n">
        <v>11</v>
      </c>
      <c r="D352" s="8" t="n">
        <v>10</v>
      </c>
      <c r="E352" s="8" t="inlineStr">
        <is>
          <t>PAPUA</t>
        </is>
      </c>
      <c r="F352" s="8" t="inlineStr">
        <is>
          <t>KAB/KOTA CONTOH 2</t>
        </is>
      </c>
      <c r="G352" s="8" t="inlineStr">
        <is>
          <t>KEC CONTOH 11</t>
        </is>
      </c>
      <c r="H352" s="8" t="inlineStr">
        <is>
          <t>DESA CONTOH 34-010</t>
        </is>
      </c>
      <c r="I352" s="6" t="n">
        <v>2</v>
      </c>
      <c r="J352" s="9" t="n">
        <v>107118</v>
      </c>
    </row>
    <row r="353">
      <c r="A353" s="8" t="n">
        <v>44</v>
      </c>
      <c r="B353" s="8" t="n">
        <v>3</v>
      </c>
      <c r="C353" s="8" t="n">
        <v>12</v>
      </c>
      <c r="D353" s="8" t="n">
        <v>11</v>
      </c>
      <c r="E353" s="8" t="inlineStr">
        <is>
          <t>PAPUA</t>
        </is>
      </c>
      <c r="F353" s="8" t="inlineStr">
        <is>
          <t>KAB/KOTA CONTOH 3</t>
        </is>
      </c>
      <c r="G353" s="8" t="inlineStr">
        <is>
          <t>KEC CONTOH 12</t>
        </is>
      </c>
      <c r="H353" s="8" t="inlineStr">
        <is>
          <t>DESA CONTOH 34-011</t>
        </is>
      </c>
      <c r="I353" s="6" t="n">
        <v>2</v>
      </c>
      <c r="J353" s="9" t="n">
        <v>59510</v>
      </c>
    </row>
    <row r="354">
      <c r="A354" s="8" t="n">
        <v>44</v>
      </c>
      <c r="B354" s="8" t="n">
        <v>4</v>
      </c>
      <c r="C354" s="8" t="n">
        <v>13</v>
      </c>
      <c r="D354" s="8" t="n">
        <v>12</v>
      </c>
      <c r="E354" s="8" t="inlineStr">
        <is>
          <t>PAPUA</t>
        </is>
      </c>
      <c r="F354" s="8" t="inlineStr">
        <is>
          <t>KAB/KOTA CONTOH 4</t>
        </is>
      </c>
      <c r="G354" s="8" t="inlineStr">
        <is>
          <t>KEC CONTOH 13</t>
        </is>
      </c>
      <c r="H354" s="8" t="inlineStr">
        <is>
          <t>DESA CONTOH 34-012</t>
        </is>
      </c>
      <c r="I354" s="6" t="n">
        <v>2</v>
      </c>
      <c r="J354" s="9" t="n">
        <v>81614</v>
      </c>
    </row>
    <row r="355">
      <c r="A355" s="8" t="n">
        <v>45</v>
      </c>
      <c r="B355" s="8" t="n">
        <v>2</v>
      </c>
      <c r="C355" s="8" t="n">
        <v>2</v>
      </c>
      <c r="D355" s="8" t="n">
        <v>1</v>
      </c>
      <c r="E355" s="8" t="inlineStr">
        <is>
          <t>PAPUA TENGAH</t>
        </is>
      </c>
      <c r="F355" s="8" t="inlineStr">
        <is>
          <t>KAB/KOTA CONTOH 2</t>
        </is>
      </c>
      <c r="G355" s="8" t="inlineStr">
        <is>
          <t>KEC CONTOH 2</t>
        </is>
      </c>
      <c r="H355" s="8" t="inlineStr">
        <is>
          <t>KELURAHAN CONTOH 35-001</t>
        </is>
      </c>
      <c r="I355" s="6" t="n">
        <v>1</v>
      </c>
      <c r="J355" s="9" t="n">
        <v>70449</v>
      </c>
    </row>
    <row r="356">
      <c r="A356" s="8" t="n">
        <v>45</v>
      </c>
      <c r="B356" s="8" t="n">
        <v>3</v>
      </c>
      <c r="C356" s="8" t="n">
        <v>3</v>
      </c>
      <c r="D356" s="8" t="n">
        <v>2</v>
      </c>
      <c r="E356" s="8" t="inlineStr">
        <is>
          <t>PAPUA TENGAH</t>
        </is>
      </c>
      <c r="F356" s="8" t="inlineStr">
        <is>
          <t>KAB/KOTA CONTOH 3</t>
        </is>
      </c>
      <c r="G356" s="8" t="inlineStr">
        <is>
          <t>KEC CONTOH 3</t>
        </is>
      </c>
      <c r="H356" s="8" t="inlineStr">
        <is>
          <t>KELURAHAN CONTOH 35-002</t>
        </is>
      </c>
      <c r="I356" s="6" t="n">
        <v>1</v>
      </c>
      <c r="J356" s="9" t="n">
        <v>96616</v>
      </c>
    </row>
    <row r="357">
      <c r="A357" s="8" t="n">
        <v>45</v>
      </c>
      <c r="B357" s="8" t="n">
        <v>4</v>
      </c>
      <c r="C357" s="8" t="n">
        <v>4</v>
      </c>
      <c r="D357" s="8" t="n">
        <v>3</v>
      </c>
      <c r="E357" s="8" t="inlineStr">
        <is>
          <t>PAPUA TENGAH</t>
        </is>
      </c>
      <c r="F357" s="8" t="inlineStr">
        <is>
          <t>KAB/KOTA CONTOH 4</t>
        </is>
      </c>
      <c r="G357" s="8" t="inlineStr">
        <is>
          <t>KEC CONTOH 4</t>
        </is>
      </c>
      <c r="H357" s="8" t="inlineStr">
        <is>
          <t>KELURAHAN CONTOH 35-003</t>
        </is>
      </c>
      <c r="I357" s="6" t="n">
        <v>1</v>
      </c>
      <c r="J357" s="9" t="n">
        <v>122783</v>
      </c>
    </row>
    <row r="358">
      <c r="A358" s="8" t="n">
        <v>45</v>
      </c>
      <c r="B358" s="8" t="n">
        <v>5</v>
      </c>
      <c r="C358" s="8" t="n">
        <v>5</v>
      </c>
      <c r="D358" s="8" t="n">
        <v>4</v>
      </c>
      <c r="E358" s="8" t="inlineStr">
        <is>
          <t>PAPUA TENGAH</t>
        </is>
      </c>
      <c r="F358" s="8" t="inlineStr">
        <is>
          <t>KAB/KOTA CONTOH 5</t>
        </is>
      </c>
      <c r="G358" s="8" t="inlineStr">
        <is>
          <t>KEC CONTOH 5</t>
        </is>
      </c>
      <c r="H358" s="8" t="inlineStr">
        <is>
          <t>KELURAHAN CONTOH 35-004</t>
        </is>
      </c>
      <c r="I358" s="6" t="n">
        <v>1</v>
      </c>
      <c r="J358" s="9" t="n">
        <v>66423</v>
      </c>
    </row>
    <row r="359">
      <c r="A359" s="8" t="n">
        <v>45</v>
      </c>
      <c r="B359" s="8" t="n">
        <v>6</v>
      </c>
      <c r="C359" s="8" t="n">
        <v>6</v>
      </c>
      <c r="D359" s="8" t="n">
        <v>5</v>
      </c>
      <c r="E359" s="8" t="inlineStr">
        <is>
          <t>PAPUA TENGAH</t>
        </is>
      </c>
      <c r="F359" s="8" t="inlineStr">
        <is>
          <t>KAB/KOTA CONTOH 6</t>
        </is>
      </c>
      <c r="G359" s="8" t="inlineStr">
        <is>
          <t>KEC CONTOH 6</t>
        </is>
      </c>
      <c r="H359" s="8" t="inlineStr">
        <is>
          <t>DESA CONTOH 35-005</t>
        </is>
      </c>
      <c r="I359" s="6" t="n">
        <v>2</v>
      </c>
      <c r="J359" s="9" t="n">
        <v>92590</v>
      </c>
    </row>
    <row r="360">
      <c r="A360" s="8" t="n">
        <v>45</v>
      </c>
      <c r="B360" s="8" t="n">
        <v>7</v>
      </c>
      <c r="C360" s="8" t="n">
        <v>7</v>
      </c>
      <c r="D360" s="8" t="n">
        <v>6</v>
      </c>
      <c r="E360" s="8" t="inlineStr">
        <is>
          <t>PAPUA TENGAH</t>
        </is>
      </c>
      <c r="F360" s="8" t="inlineStr">
        <is>
          <t>KAB/KOTA CONTOH 7</t>
        </is>
      </c>
      <c r="G360" s="8" t="inlineStr">
        <is>
          <t>KEC CONTOH 7</t>
        </is>
      </c>
      <c r="H360" s="8" t="inlineStr">
        <is>
          <t>DESA CONTOH 35-006</t>
        </is>
      </c>
      <c r="I360" s="6" t="n">
        <v>2</v>
      </c>
      <c r="J360" s="9" t="n">
        <v>118757</v>
      </c>
    </row>
    <row r="361">
      <c r="A361" s="8" t="n">
        <v>45</v>
      </c>
      <c r="B361" s="8" t="n">
        <v>8</v>
      </c>
      <c r="C361" s="8" t="n">
        <v>8</v>
      </c>
      <c r="D361" s="8" t="n">
        <v>7</v>
      </c>
      <c r="E361" s="8" t="inlineStr">
        <is>
          <t>PAPUA TENGAH</t>
        </is>
      </c>
      <c r="F361" s="8" t="inlineStr">
        <is>
          <t>KAB/KOTA CONTOH 8</t>
        </is>
      </c>
      <c r="G361" s="8" t="inlineStr">
        <is>
          <t>KEC CONTOH 8</t>
        </is>
      </c>
      <c r="H361" s="8" t="inlineStr">
        <is>
          <t>DESA CONTOH 35-007</t>
        </is>
      </c>
      <c r="I361" s="6" t="n">
        <v>2</v>
      </c>
      <c r="J361" s="9" t="n">
        <v>62398</v>
      </c>
    </row>
    <row r="362">
      <c r="A362" s="8" t="n">
        <v>45</v>
      </c>
      <c r="B362" s="8" t="n">
        <v>9</v>
      </c>
      <c r="C362" s="8" t="n">
        <v>9</v>
      </c>
      <c r="D362" s="8" t="n">
        <v>8</v>
      </c>
      <c r="E362" s="8" t="inlineStr">
        <is>
          <t>PAPUA TENGAH</t>
        </is>
      </c>
      <c r="F362" s="8" t="inlineStr">
        <is>
          <t>KAB/KOTA CONTOH 9</t>
        </is>
      </c>
      <c r="G362" s="8" t="inlineStr">
        <is>
          <t>KEC CONTOH 9</t>
        </is>
      </c>
      <c r="H362" s="8" t="inlineStr">
        <is>
          <t>DESA CONTOH 35-008</t>
        </is>
      </c>
      <c r="I362" s="6" t="n">
        <v>2</v>
      </c>
      <c r="J362" s="9" t="n">
        <v>88564</v>
      </c>
    </row>
    <row r="363">
      <c r="A363" s="8" t="n">
        <v>45</v>
      </c>
      <c r="B363" s="8" t="n">
        <v>1</v>
      </c>
      <c r="C363" s="8" t="n">
        <v>10</v>
      </c>
      <c r="D363" s="8" t="n">
        <v>9</v>
      </c>
      <c r="E363" s="8" t="inlineStr">
        <is>
          <t>PAPUA TENGAH</t>
        </is>
      </c>
      <c r="F363" s="8" t="inlineStr">
        <is>
          <t>KAB/KOTA CONTOH 1</t>
        </is>
      </c>
      <c r="G363" s="8" t="inlineStr">
        <is>
          <t>KEC CONTOH 10</t>
        </is>
      </c>
      <c r="H363" s="8" t="inlineStr">
        <is>
          <t>DESA CONTOH 35-009</t>
        </is>
      </c>
      <c r="I363" s="6" t="n">
        <v>2</v>
      </c>
      <c r="J363" s="9" t="n">
        <v>114731</v>
      </c>
    </row>
    <row r="364">
      <c r="A364" s="8" t="n">
        <v>45</v>
      </c>
      <c r="B364" s="8" t="n">
        <v>2</v>
      </c>
      <c r="C364" s="8" t="n">
        <v>11</v>
      </c>
      <c r="D364" s="8" t="n">
        <v>10</v>
      </c>
      <c r="E364" s="8" t="inlineStr">
        <is>
          <t>PAPUA TENGAH</t>
        </is>
      </c>
      <c r="F364" s="8" t="inlineStr">
        <is>
          <t>KAB/KOTA CONTOH 2</t>
        </is>
      </c>
      <c r="G364" s="8" t="inlineStr">
        <is>
          <t>KEC CONTOH 11</t>
        </is>
      </c>
      <c r="H364" s="8" t="inlineStr">
        <is>
          <t>DESA CONTOH 35-010</t>
        </is>
      </c>
      <c r="I364" s="6" t="n">
        <v>2</v>
      </c>
      <c r="J364" s="9" t="n">
        <v>140898</v>
      </c>
    </row>
    <row r="365">
      <c r="A365" s="8" t="n">
        <v>45</v>
      </c>
      <c r="B365" s="8" t="n">
        <v>3</v>
      </c>
      <c r="C365" s="8" t="n">
        <v>12</v>
      </c>
      <c r="D365" s="8" t="n">
        <v>11</v>
      </c>
      <c r="E365" s="8" t="inlineStr">
        <is>
          <t>PAPUA TENGAH</t>
        </is>
      </c>
      <c r="F365" s="8" t="inlineStr">
        <is>
          <t>KAB/KOTA CONTOH 3</t>
        </is>
      </c>
      <c r="G365" s="8" t="inlineStr">
        <is>
          <t>KEC CONTOH 12</t>
        </is>
      </c>
      <c r="H365" s="8" t="inlineStr">
        <is>
          <t>DESA CONTOH 35-011</t>
        </is>
      </c>
      <c r="I365" s="6" t="n">
        <v>2</v>
      </c>
      <c r="J365" s="9" t="n">
        <v>84539</v>
      </c>
    </row>
    <row r="366">
      <c r="A366" s="8" t="n">
        <v>45</v>
      </c>
      <c r="B366" s="8" t="n">
        <v>4</v>
      </c>
      <c r="C366" s="8" t="n">
        <v>13</v>
      </c>
      <c r="D366" s="8" t="n">
        <v>12</v>
      </c>
      <c r="E366" s="8" t="inlineStr">
        <is>
          <t>PAPUA TENGAH</t>
        </is>
      </c>
      <c r="F366" s="8" t="inlineStr">
        <is>
          <t>KAB/KOTA CONTOH 4</t>
        </is>
      </c>
      <c r="G366" s="8" t="inlineStr">
        <is>
          <t>KEC CONTOH 13</t>
        </is>
      </c>
      <c r="H366" s="8" t="inlineStr">
        <is>
          <t>DESA CONTOH 35-012</t>
        </is>
      </c>
      <c r="I366" s="6" t="n">
        <v>2</v>
      </c>
      <c r="J366" s="9" t="n">
        <v>110706</v>
      </c>
    </row>
    <row r="367">
      <c r="A367" s="8" t="n">
        <v>45</v>
      </c>
      <c r="B367" s="8" t="n">
        <v>5</v>
      </c>
      <c r="C367" s="8" t="n">
        <v>14</v>
      </c>
      <c r="D367" s="8" t="n">
        <v>13</v>
      </c>
      <c r="E367" s="8" t="inlineStr">
        <is>
          <t>PAPUA TENGAH</t>
        </is>
      </c>
      <c r="F367" s="8" t="inlineStr">
        <is>
          <t>KAB/KOTA CONTOH 5</t>
        </is>
      </c>
      <c r="G367" s="8" t="inlineStr">
        <is>
          <t>KEC CONTOH 14</t>
        </is>
      </c>
      <c r="H367" s="8" t="inlineStr">
        <is>
          <t>DESA CONTOH 35-013</t>
        </is>
      </c>
      <c r="I367" s="6" t="n">
        <v>2</v>
      </c>
      <c r="J367" s="9" t="n">
        <v>136873</v>
      </c>
    </row>
    <row r="368">
      <c r="A368" s="8" t="n">
        <v>45</v>
      </c>
      <c r="B368" s="8" t="n">
        <v>6</v>
      </c>
      <c r="C368" s="8" t="n">
        <v>15</v>
      </c>
      <c r="D368" s="8" t="n">
        <v>14</v>
      </c>
      <c r="E368" s="8" t="inlineStr">
        <is>
          <t>PAPUA TENGAH</t>
        </is>
      </c>
      <c r="F368" s="8" t="inlineStr">
        <is>
          <t>KAB/KOTA CONTOH 6</t>
        </is>
      </c>
      <c r="G368" s="8" t="inlineStr">
        <is>
          <t>KEC CONTOH 15</t>
        </is>
      </c>
      <c r="H368" s="8" t="inlineStr">
        <is>
          <t>DESA CONTOH 35-014</t>
        </is>
      </c>
      <c r="I368" s="6" t="n">
        <v>2</v>
      </c>
      <c r="J368" s="9" t="n">
        <v>80513</v>
      </c>
    </row>
    <row r="369">
      <c r="A369" s="8" t="n">
        <v>46</v>
      </c>
      <c r="B369" s="8" t="n">
        <v>2</v>
      </c>
      <c r="C369" s="8" t="n">
        <v>2</v>
      </c>
      <c r="D369" s="8" t="n">
        <v>1</v>
      </c>
      <c r="E369" s="8" t="inlineStr">
        <is>
          <t>PAPUA BARAT DAYA</t>
        </is>
      </c>
      <c r="F369" s="8" t="inlineStr">
        <is>
          <t>KAB/KOTA CONTOH 2</t>
        </is>
      </c>
      <c r="G369" s="8" t="inlineStr">
        <is>
          <t>KEC CONTOH 2</t>
        </is>
      </c>
      <c r="H369" s="8" t="inlineStr">
        <is>
          <t>KELURAHAN CONTOH 36-001</t>
        </is>
      </c>
      <c r="I369" s="6" t="n">
        <v>1</v>
      </c>
      <c r="J369" s="9" t="n">
        <v>53541</v>
      </c>
    </row>
    <row r="370">
      <c r="A370" s="8" t="n">
        <v>46</v>
      </c>
      <c r="B370" s="8" t="n">
        <v>3</v>
      </c>
      <c r="C370" s="8" t="n">
        <v>3</v>
      </c>
      <c r="D370" s="8" t="n">
        <v>2</v>
      </c>
      <c r="E370" s="8" t="inlineStr">
        <is>
          <t>PAPUA BARAT DAYA</t>
        </is>
      </c>
      <c r="F370" s="8" t="inlineStr">
        <is>
          <t>KAB/KOTA CONTOH 3</t>
        </is>
      </c>
      <c r="G370" s="8" t="inlineStr">
        <is>
          <t>KEC CONTOH 3</t>
        </is>
      </c>
      <c r="H370" s="8" t="inlineStr">
        <is>
          <t>KELURAHAN CONTOH 36-002</t>
        </is>
      </c>
      <c r="I370" s="6" t="n">
        <v>1</v>
      </c>
      <c r="J370" s="9" t="n">
        <v>70114</v>
      </c>
    </row>
    <row r="371">
      <c r="A371" s="8" t="n">
        <v>46</v>
      </c>
      <c r="B371" s="8" t="n">
        <v>4</v>
      </c>
      <c r="C371" s="8" t="n">
        <v>4</v>
      </c>
      <c r="D371" s="8" t="n">
        <v>3</v>
      </c>
      <c r="E371" s="8" t="inlineStr">
        <is>
          <t>PAPUA BARAT DAYA</t>
        </is>
      </c>
      <c r="F371" s="8" t="inlineStr">
        <is>
          <t>KAB/KOTA CONTOH 4</t>
        </is>
      </c>
      <c r="G371" s="8" t="inlineStr">
        <is>
          <t>KEC CONTOH 4</t>
        </is>
      </c>
      <c r="H371" s="8" t="inlineStr">
        <is>
          <t>KELURAHAN CONTOH 36-003</t>
        </is>
      </c>
      <c r="I371" s="6" t="n">
        <v>1</v>
      </c>
      <c r="J371" s="9" t="n">
        <v>86686</v>
      </c>
    </row>
    <row r="372">
      <c r="A372" s="8" t="n">
        <v>46</v>
      </c>
      <c r="B372" s="8" t="n">
        <v>5</v>
      </c>
      <c r="C372" s="8" t="n">
        <v>5</v>
      </c>
      <c r="D372" s="8" t="n">
        <v>4</v>
      </c>
      <c r="E372" s="8" t="inlineStr">
        <is>
          <t>PAPUA BARAT DAYA</t>
        </is>
      </c>
      <c r="F372" s="8" t="inlineStr">
        <is>
          <t>KAB/KOTA CONTOH 5</t>
        </is>
      </c>
      <c r="G372" s="8" t="inlineStr">
        <is>
          <t>KEC CONTOH 5</t>
        </is>
      </c>
      <c r="H372" s="8" t="inlineStr">
        <is>
          <t>KELURAHAN CONTOH 36-004</t>
        </is>
      </c>
      <c r="I372" s="6" t="n">
        <v>1</v>
      </c>
      <c r="J372" s="9" t="n">
        <v>50992</v>
      </c>
    </row>
    <row r="373">
      <c r="A373" s="8" t="n">
        <v>46</v>
      </c>
      <c r="B373" s="8" t="n">
        <v>6</v>
      </c>
      <c r="C373" s="8" t="n">
        <v>6</v>
      </c>
      <c r="D373" s="8" t="n">
        <v>5</v>
      </c>
      <c r="E373" s="8" t="inlineStr">
        <is>
          <t>PAPUA BARAT DAYA</t>
        </is>
      </c>
      <c r="F373" s="8" t="inlineStr">
        <is>
          <t>KAB/KOTA CONTOH 6</t>
        </is>
      </c>
      <c r="G373" s="8" t="inlineStr">
        <is>
          <t>KEC CONTOH 6</t>
        </is>
      </c>
      <c r="H373" s="8" t="inlineStr">
        <is>
          <t>KELURAHAN CONTOH 36-005</t>
        </is>
      </c>
      <c r="I373" s="6" t="n">
        <v>1</v>
      </c>
      <c r="J373" s="9" t="n">
        <v>67564</v>
      </c>
    </row>
    <row r="374">
      <c r="A374" s="8" t="n">
        <v>46</v>
      </c>
      <c r="B374" s="8" t="n">
        <v>7</v>
      </c>
      <c r="C374" s="8" t="n">
        <v>7</v>
      </c>
      <c r="D374" s="8" t="n">
        <v>6</v>
      </c>
      <c r="E374" s="8" t="inlineStr">
        <is>
          <t>PAPUA BARAT DAYA</t>
        </is>
      </c>
      <c r="F374" s="8" t="inlineStr">
        <is>
          <t>KAB/KOTA CONTOH 7</t>
        </is>
      </c>
      <c r="G374" s="8" t="inlineStr">
        <is>
          <t>KEC CONTOH 7</t>
        </is>
      </c>
      <c r="H374" s="8" t="inlineStr">
        <is>
          <t>DESA CONTOH 36-006</t>
        </is>
      </c>
      <c r="I374" s="6" t="n">
        <v>2</v>
      </c>
      <c r="J374" s="9" t="n">
        <v>84136</v>
      </c>
    </row>
    <row r="375">
      <c r="A375" s="8" t="n">
        <v>46</v>
      </c>
      <c r="B375" s="8" t="n">
        <v>8</v>
      </c>
      <c r="C375" s="8" t="n">
        <v>8</v>
      </c>
      <c r="D375" s="8" t="n">
        <v>7</v>
      </c>
      <c r="E375" s="8" t="inlineStr">
        <is>
          <t>PAPUA BARAT DAYA</t>
        </is>
      </c>
      <c r="F375" s="8" t="inlineStr">
        <is>
          <t>KAB/KOTA CONTOH 8</t>
        </is>
      </c>
      <c r="G375" s="8" t="inlineStr">
        <is>
          <t>KEC CONTOH 8</t>
        </is>
      </c>
      <c r="H375" s="8" t="inlineStr">
        <is>
          <t>DESA CONTOH 36-007</t>
        </is>
      </c>
      <c r="I375" s="6" t="n">
        <v>2</v>
      </c>
      <c r="J375" s="9" t="n">
        <v>48442</v>
      </c>
    </row>
    <row r="376">
      <c r="A376" s="8" t="n">
        <v>46</v>
      </c>
      <c r="B376" s="8" t="n">
        <v>9</v>
      </c>
      <c r="C376" s="8" t="n">
        <v>9</v>
      </c>
      <c r="D376" s="8" t="n">
        <v>8</v>
      </c>
      <c r="E376" s="8" t="inlineStr">
        <is>
          <t>PAPUA BARAT DAYA</t>
        </is>
      </c>
      <c r="F376" s="8" t="inlineStr">
        <is>
          <t>KAB/KOTA CONTOH 9</t>
        </is>
      </c>
      <c r="G376" s="8" t="inlineStr">
        <is>
          <t>KEC CONTOH 9</t>
        </is>
      </c>
      <c r="H376" s="8" t="inlineStr">
        <is>
          <t>DESA CONTOH 36-008</t>
        </is>
      </c>
      <c r="I376" s="6" t="n">
        <v>2</v>
      </c>
      <c r="J376" s="9" t="n">
        <v>65014</v>
      </c>
    </row>
    <row r="377">
      <c r="A377" s="8" t="n">
        <v>46</v>
      </c>
      <c r="B377" s="8" t="n">
        <v>1</v>
      </c>
      <c r="C377" s="8" t="n">
        <v>10</v>
      </c>
      <c r="D377" s="8" t="n">
        <v>9</v>
      </c>
      <c r="E377" s="8" t="inlineStr">
        <is>
          <t>PAPUA BARAT DAYA</t>
        </is>
      </c>
      <c r="F377" s="8" t="inlineStr">
        <is>
          <t>KAB/KOTA CONTOH 1</t>
        </is>
      </c>
      <c r="G377" s="8" t="inlineStr">
        <is>
          <t>KEC CONTOH 10</t>
        </is>
      </c>
      <c r="H377" s="8" t="inlineStr">
        <is>
          <t>DESA CONTOH 36-009</t>
        </is>
      </c>
      <c r="I377" s="6" t="n">
        <v>2</v>
      </c>
      <c r="J377" s="9" t="n">
        <v>81587</v>
      </c>
    </row>
    <row r="378">
      <c r="A378" s="8" t="n">
        <v>47</v>
      </c>
      <c r="B378" s="8" t="n">
        <v>2</v>
      </c>
      <c r="C378" s="8" t="n">
        <v>2</v>
      </c>
      <c r="D378" s="8" t="n">
        <v>1</v>
      </c>
      <c r="E378" s="8" t="inlineStr">
        <is>
          <t>PAPUA PEGUNUNGAN</t>
        </is>
      </c>
      <c r="F378" s="8" t="inlineStr">
        <is>
          <t>KAB/KOTA CONTOH 2</t>
        </is>
      </c>
      <c r="G378" s="8" t="inlineStr">
        <is>
          <t>KEC CONTOH 2</t>
        </is>
      </c>
      <c r="H378" s="8" t="inlineStr">
        <is>
          <t>KELURAHAN CONTOH 37-001</t>
        </is>
      </c>
      <c r="I378" s="6" t="n">
        <v>1</v>
      </c>
      <c r="J378" s="9" t="n">
        <v>197209</v>
      </c>
    </row>
    <row r="379">
      <c r="A379" s="8" t="n">
        <v>47</v>
      </c>
      <c r="B379" s="8" t="n">
        <v>3</v>
      </c>
      <c r="C379" s="8" t="n">
        <v>3</v>
      </c>
      <c r="D379" s="8" t="n">
        <v>2</v>
      </c>
      <c r="E379" s="8" t="inlineStr">
        <is>
          <t>PAPUA PEGUNUNGAN</t>
        </is>
      </c>
      <c r="F379" s="8" t="inlineStr">
        <is>
          <t>KAB/KOTA CONTOH 3</t>
        </is>
      </c>
      <c r="G379" s="8" t="inlineStr">
        <is>
          <t>KEC CONTOH 3</t>
        </is>
      </c>
      <c r="H379" s="8" t="inlineStr">
        <is>
          <t>KELURAHAN CONTOH 37-002</t>
        </is>
      </c>
      <c r="I379" s="6" t="n">
        <v>1</v>
      </c>
      <c r="J379" s="9" t="n">
        <v>249530</v>
      </c>
    </row>
    <row r="380">
      <c r="A380" s="8" t="n">
        <v>47</v>
      </c>
      <c r="B380" s="8" t="n">
        <v>4</v>
      </c>
      <c r="C380" s="8" t="n">
        <v>4</v>
      </c>
      <c r="D380" s="8" t="n">
        <v>3</v>
      </c>
      <c r="E380" s="8" t="inlineStr">
        <is>
          <t>PAPUA PEGUNUNGAN</t>
        </is>
      </c>
      <c r="F380" s="8" t="inlineStr">
        <is>
          <t>KAB/KOTA CONTOH 4</t>
        </is>
      </c>
      <c r="G380" s="8" t="inlineStr">
        <is>
          <t>KEC CONTOH 4</t>
        </is>
      </c>
      <c r="H380" s="8" t="inlineStr">
        <is>
          <t>DESA CONTOH 37-003</t>
        </is>
      </c>
      <c r="I380" s="6" t="n">
        <v>2</v>
      </c>
      <c r="J380" s="9" t="n">
        <v>136839</v>
      </c>
    </row>
    <row r="381">
      <c r="A381" s="8" t="n">
        <v>47</v>
      </c>
      <c r="B381" s="8" t="n">
        <v>5</v>
      </c>
      <c r="C381" s="8" t="n">
        <v>5</v>
      </c>
      <c r="D381" s="8" t="n">
        <v>4</v>
      </c>
      <c r="E381" s="8" t="inlineStr">
        <is>
          <t>PAPUA PEGUNUNGAN</t>
        </is>
      </c>
      <c r="F381" s="8" t="inlineStr">
        <is>
          <t>KAB/KOTA CONTOH 5</t>
        </is>
      </c>
      <c r="G381" s="8" t="inlineStr">
        <is>
          <t>KEC CONTOH 5</t>
        </is>
      </c>
      <c r="H381" s="8" t="inlineStr">
        <is>
          <t>DESA CONTOH 37-004</t>
        </is>
      </c>
      <c r="I381" s="6" t="n">
        <v>2</v>
      </c>
      <c r="J381" s="9" t="n">
        <v>189159</v>
      </c>
    </row>
    <row r="382">
      <c r="A382" s="8" t="n">
        <v>47</v>
      </c>
      <c r="B382" s="8" t="n">
        <v>6</v>
      </c>
      <c r="C382" s="8" t="n">
        <v>6</v>
      </c>
      <c r="D382" s="8" t="n">
        <v>5</v>
      </c>
      <c r="E382" s="8" t="inlineStr">
        <is>
          <t>PAPUA PEGUNUNGAN</t>
        </is>
      </c>
      <c r="F382" s="8" t="inlineStr">
        <is>
          <t>KAB/KOTA CONTOH 6</t>
        </is>
      </c>
      <c r="G382" s="8" t="inlineStr">
        <is>
          <t>KEC CONTOH 6</t>
        </is>
      </c>
      <c r="H382" s="8" t="inlineStr">
        <is>
          <t>DESA CONTOH 37-005</t>
        </is>
      </c>
      <c r="I382" s="6" t="n">
        <v>2</v>
      </c>
      <c r="J382" s="9" t="n">
        <v>241480</v>
      </c>
    </row>
    <row r="383">
      <c r="A383" s="8" t="n">
        <v>47</v>
      </c>
      <c r="B383" s="8" t="n">
        <v>7</v>
      </c>
      <c r="C383" s="8" t="n">
        <v>7</v>
      </c>
      <c r="D383" s="8" t="n">
        <v>6</v>
      </c>
      <c r="E383" s="8" t="inlineStr">
        <is>
          <t>PAPUA PEGUNUNGAN</t>
        </is>
      </c>
      <c r="F383" s="8" t="inlineStr">
        <is>
          <t>KAB/KOTA CONTOH 7</t>
        </is>
      </c>
      <c r="G383" s="8" t="inlineStr">
        <is>
          <t>KEC CONTOH 7</t>
        </is>
      </c>
      <c r="H383" s="8" t="inlineStr">
        <is>
          <t>DESA CONTOH 37-006</t>
        </is>
      </c>
      <c r="I383" s="6" t="n">
        <v>2</v>
      </c>
      <c r="J383" s="9" t="n">
        <v>128789</v>
      </c>
    </row>
    <row r="384">
      <c r="A384" s="8" t="n">
        <v>47</v>
      </c>
      <c r="B384" s="8" t="n">
        <v>8</v>
      </c>
      <c r="C384" s="8" t="n">
        <v>8</v>
      </c>
      <c r="D384" s="8" t="n">
        <v>7</v>
      </c>
      <c r="E384" s="8" t="inlineStr">
        <is>
          <t>PAPUA PEGUNUNGAN</t>
        </is>
      </c>
      <c r="F384" s="8" t="inlineStr">
        <is>
          <t>KAB/KOTA CONTOH 8</t>
        </is>
      </c>
      <c r="G384" s="8" t="inlineStr">
        <is>
          <t>KEC CONTOH 8</t>
        </is>
      </c>
      <c r="H384" s="8" t="inlineStr">
        <is>
          <t>DESA CONTOH 37-007</t>
        </is>
      </c>
      <c r="I384" s="6" t="n">
        <v>2</v>
      </c>
      <c r="J384" s="9" t="n">
        <v>181110</v>
      </c>
    </row>
    <row r="385">
      <c r="A385" s="8" t="n">
        <v>48</v>
      </c>
      <c r="B385" s="8" t="n">
        <v>2</v>
      </c>
      <c r="C385" s="8" t="n">
        <v>2</v>
      </c>
      <c r="D385" s="8" t="n">
        <v>1</v>
      </c>
      <c r="E385" s="8" t="inlineStr">
        <is>
          <t>PAPUA SELATAN</t>
        </is>
      </c>
      <c r="F385" s="8" t="inlineStr">
        <is>
          <t>KAB/KOTA CONTOH 2</t>
        </is>
      </c>
      <c r="G385" s="8" t="inlineStr">
        <is>
          <t>KEC CONTOH 2</t>
        </is>
      </c>
      <c r="H385" s="8" t="inlineStr">
        <is>
          <t>KELURAHAN CONTOH 38-001</t>
        </is>
      </c>
      <c r="I385" s="6" t="n">
        <v>1</v>
      </c>
      <c r="J385" s="9" t="n">
        <v>64414</v>
      </c>
    </row>
    <row r="386">
      <c r="A386" s="8" t="n">
        <v>48</v>
      </c>
      <c r="B386" s="8" t="n">
        <v>3</v>
      </c>
      <c r="C386" s="8" t="n">
        <v>3</v>
      </c>
      <c r="D386" s="8" t="n">
        <v>2</v>
      </c>
      <c r="E386" s="8" t="inlineStr">
        <is>
          <t>PAPUA SELATAN</t>
        </is>
      </c>
      <c r="F386" s="8" t="inlineStr">
        <is>
          <t>KAB/KOTA CONTOH 3</t>
        </is>
      </c>
      <c r="G386" s="8" t="inlineStr">
        <is>
          <t>KEC CONTOH 3</t>
        </is>
      </c>
      <c r="H386" s="8" t="inlineStr">
        <is>
          <t>KELURAHAN CONTOH 38-002</t>
        </is>
      </c>
      <c r="I386" s="6" t="n">
        <v>1</v>
      </c>
      <c r="J386" s="9" t="n">
        <v>79367</v>
      </c>
    </row>
    <row r="387">
      <c r="A387" s="8" t="n">
        <v>48</v>
      </c>
      <c r="B387" s="8" t="n">
        <v>4</v>
      </c>
      <c r="C387" s="8" t="n">
        <v>4</v>
      </c>
      <c r="D387" s="8" t="n">
        <v>3</v>
      </c>
      <c r="E387" s="8" t="inlineStr">
        <is>
          <t>PAPUA SELATAN</t>
        </is>
      </c>
      <c r="F387" s="8" t="inlineStr">
        <is>
          <t>KAB/KOTA CONTOH 4</t>
        </is>
      </c>
      <c r="G387" s="8" t="inlineStr">
        <is>
          <t>KEC CONTOH 4</t>
        </is>
      </c>
      <c r="H387" s="8" t="inlineStr">
        <is>
          <t>KELURAHAN CONTOH 38-003</t>
        </is>
      </c>
      <c r="I387" s="6" t="n">
        <v>1</v>
      </c>
      <c r="J387" s="9" t="n">
        <v>47160</v>
      </c>
    </row>
    <row r="388">
      <c r="A388" s="8" t="n">
        <v>48</v>
      </c>
      <c r="B388" s="8" t="n">
        <v>5</v>
      </c>
      <c r="C388" s="8" t="n">
        <v>5</v>
      </c>
      <c r="D388" s="8" t="n">
        <v>4</v>
      </c>
      <c r="E388" s="8" t="inlineStr">
        <is>
          <t>PAPUA SELATAN</t>
        </is>
      </c>
      <c r="F388" s="8" t="inlineStr">
        <is>
          <t>KAB/KOTA CONTOH 5</t>
        </is>
      </c>
      <c r="G388" s="8" t="inlineStr">
        <is>
          <t>KEC CONTOH 5</t>
        </is>
      </c>
      <c r="H388" s="8" t="inlineStr">
        <is>
          <t>DESA CONTOH 38-004</t>
        </is>
      </c>
      <c r="I388" s="6" t="n">
        <v>2</v>
      </c>
      <c r="J388" s="9" t="n">
        <v>62114</v>
      </c>
    </row>
    <row r="389">
      <c r="A389" s="8" t="n">
        <v>48</v>
      </c>
      <c r="B389" s="8" t="n">
        <v>6</v>
      </c>
      <c r="C389" s="8" t="n">
        <v>6</v>
      </c>
      <c r="D389" s="8" t="n">
        <v>5</v>
      </c>
      <c r="E389" s="8" t="inlineStr">
        <is>
          <t>PAPUA SELATAN</t>
        </is>
      </c>
      <c r="F389" s="8" t="inlineStr">
        <is>
          <t>KAB/KOTA CONTOH 6</t>
        </is>
      </c>
      <c r="G389" s="8" t="inlineStr">
        <is>
          <t>KEC CONTOH 6</t>
        </is>
      </c>
      <c r="H389" s="8" t="inlineStr">
        <is>
          <t>DESA CONTOH 38-005</t>
        </is>
      </c>
      <c r="I389" s="6" t="n">
        <v>2</v>
      </c>
      <c r="J389" s="9" t="n">
        <v>77067</v>
      </c>
    </row>
    <row r="390">
      <c r="A390" s="8" t="n">
        <v>48</v>
      </c>
      <c r="B390" s="8" t="n">
        <v>7</v>
      </c>
      <c r="C390" s="8" t="n">
        <v>7</v>
      </c>
      <c r="D390" s="8" t="n">
        <v>6</v>
      </c>
      <c r="E390" s="8" t="inlineStr">
        <is>
          <t>PAPUA SELATAN</t>
        </is>
      </c>
      <c r="F390" s="8" t="inlineStr">
        <is>
          <t>KAB/KOTA CONTOH 7</t>
        </is>
      </c>
      <c r="G390" s="8" t="inlineStr">
        <is>
          <t>KEC CONTOH 7</t>
        </is>
      </c>
      <c r="H390" s="8" t="inlineStr">
        <is>
          <t>DESA CONTOH 38-006</t>
        </is>
      </c>
      <c r="I390" s="6" t="n">
        <v>2</v>
      </c>
      <c r="J390" s="9" t="n">
        <v>44860</v>
      </c>
    </row>
    <row r="391">
      <c r="A391" s="8" t="n">
        <v>48</v>
      </c>
      <c r="B391" s="8" t="n">
        <v>8</v>
      </c>
      <c r="C391" s="8" t="n">
        <v>8</v>
      </c>
      <c r="D391" s="8" t="n">
        <v>7</v>
      </c>
      <c r="E391" s="8" t="inlineStr">
        <is>
          <t>PAPUA SELATAN</t>
        </is>
      </c>
      <c r="F391" s="8" t="inlineStr">
        <is>
          <t>KAB/KOTA CONTOH 8</t>
        </is>
      </c>
      <c r="G391" s="8" t="inlineStr">
        <is>
          <t>KEC CONTOH 8</t>
        </is>
      </c>
      <c r="H391" s="8" t="inlineStr">
        <is>
          <t>DESA CONTOH 38-007</t>
        </is>
      </c>
      <c r="I391" s="6" t="n">
        <v>2</v>
      </c>
      <c r="J391" s="9" t="n">
        <v>59813</v>
      </c>
    </row>
    <row r="392">
      <c r="A392" s="8" t="n">
        <v>48</v>
      </c>
      <c r="B392" s="8" t="n">
        <v>9</v>
      </c>
      <c r="C392" s="8" t="n">
        <v>9</v>
      </c>
      <c r="D392" s="8" t="n">
        <v>8</v>
      </c>
      <c r="E392" s="8" t="inlineStr">
        <is>
          <t>PAPUA SELATAN</t>
        </is>
      </c>
      <c r="F392" s="8" t="inlineStr">
        <is>
          <t>KAB/KOTA CONTOH 9</t>
        </is>
      </c>
      <c r="G392" s="8" t="inlineStr">
        <is>
          <t>KEC CONTOH 9</t>
        </is>
      </c>
      <c r="H392" s="8" t="inlineStr">
        <is>
          <t>DESA CONTOH 38-008</t>
        </is>
      </c>
      <c r="I392" s="6" t="n">
        <v>2</v>
      </c>
      <c r="J392" s="9" t="n">
        <v>74766</v>
      </c>
    </row>
    <row r="393">
      <c r="A393" s="8" t="n">
        <v>48</v>
      </c>
      <c r="B393" s="8" t="n">
        <v>1</v>
      </c>
      <c r="C393" s="8" t="n">
        <v>10</v>
      </c>
      <c r="D393" s="8" t="n">
        <v>9</v>
      </c>
      <c r="E393" s="8" t="inlineStr">
        <is>
          <t>PAPUA SELATAN</t>
        </is>
      </c>
      <c r="F393" s="8" t="inlineStr">
        <is>
          <t>KAB/KOTA CONTOH 1</t>
        </is>
      </c>
      <c r="G393" s="8" t="inlineStr">
        <is>
          <t>KEC CONTOH 10</t>
        </is>
      </c>
      <c r="H393" s="8" t="inlineStr">
        <is>
          <t>DESA CONTOH 38-009</t>
        </is>
      </c>
      <c r="I393" s="6" t="n">
        <v>2</v>
      </c>
      <c r="J393" s="9" t="n">
        <v>42559</v>
      </c>
    </row>
    <row r="395">
      <c r="E395" s="12" t="inlineStr">
        <is>
          <t>DUMMY — hapus &amp; tempel MFD asli (kolom sama). UR: 1=Perkotaan, 2=Perdesaan. PENDUDUK_DESA (kolom J) opsional untuk PPS self-weighting.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9" customWidth="1" min="6" max="6"/>
    <col width="9" customWidth="1" min="7" max="7"/>
    <col width="8" customWidth="1" min="8" max="8"/>
    <col width="9" customWidth="1" min="9" max="9"/>
    <col width="7" customWidth="1" min="10" max="10"/>
    <col width="5" customWidth="1" min="11" max="11"/>
    <col width="8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Alokasi Proporsional + Jaminan Minimum (largest-remainder / Hamilton)</t>
        </is>
      </c>
    </row>
    <row r="3">
      <c r="A3" s="13" t="inlineStr">
        <is>
          <t>Target responden (n_total)</t>
        </is>
      </c>
      <c r="B3" s="14">
        <f>Parameter!B3</f>
        <v/>
      </c>
    </row>
    <row r="4">
      <c r="A4" s="13" t="inlineStr">
        <is>
          <t>Responden per titik</t>
        </is>
      </c>
      <c r="B4" s="14">
        <f>Parameter!B4</f>
        <v/>
      </c>
    </row>
    <row r="5">
      <c r="A5" s="13" t="inlineStr">
        <is>
          <t>Jumlah titik (n_titik)</t>
        </is>
      </c>
      <c r="B5" s="14">
        <f>Parameter!B8</f>
        <v/>
      </c>
    </row>
    <row r="6">
      <c r="A6" s="13" t="inlineStr">
        <is>
          <t>Minimum per provinsi</t>
        </is>
      </c>
      <c r="B6" s="14">
        <f>Parameter!B5</f>
        <v/>
      </c>
    </row>
    <row r="7">
      <c r="A7" s="13" t="inlineStr">
        <is>
          <t>Sisa dibagi proporsional</t>
        </is>
      </c>
      <c r="B7" s="14">
        <f>Parameter!B9</f>
        <v/>
      </c>
    </row>
    <row r="8">
      <c r="A8" s="13" t="inlineStr">
        <is>
          <t>Sisa +1 (kurang) = Sisa - SUM(lantai)</t>
        </is>
      </c>
      <c r="B8" s="15">
        <f>B7-SUM(H11:H48)</f>
        <v/>
      </c>
    </row>
    <row r="10">
      <c r="A10" s="7" t="inlineStr">
        <is>
          <t>No</t>
        </is>
      </c>
      <c r="B10" s="7" t="inlineStr">
        <is>
          <t>Provinsi</t>
        </is>
      </c>
      <c r="C10" s="7" t="inlineStr">
        <is>
          <t>DPT</t>
        </is>
      </c>
      <c r="D10" s="7" t="inlineStr">
        <is>
          <t>Penduduk</t>
        </is>
      </c>
      <c r="E10" s="7" t="inlineStr">
        <is>
          <t>Ukuran</t>
        </is>
      </c>
      <c r="F10" s="7" t="inlineStr">
        <is>
          <t>Share</t>
        </is>
      </c>
      <c r="G10" s="7" t="inlineStr">
        <is>
          <t>Kuota</t>
        </is>
      </c>
      <c r="H10" s="7" t="inlineStr">
        <is>
          <t>Lantai</t>
        </is>
      </c>
      <c r="I10" s="7" t="inlineStr">
        <is>
          <t>Pecahan</t>
        </is>
      </c>
      <c r="J10" s="7" t="inlineStr">
        <is>
          <t>Rank</t>
        </is>
      </c>
      <c r="K10" s="7" t="inlineStr">
        <is>
          <t>+1</t>
        </is>
      </c>
      <c r="L10" s="7" t="inlineStr">
        <is>
          <t>Titik</t>
        </is>
      </c>
      <c r="M10" s="7" t="inlineStr">
        <is>
          <t>Kota MFD</t>
        </is>
      </c>
      <c r="N10" s="7" t="inlineStr">
        <is>
          <t>Desa MFD</t>
        </is>
      </c>
      <c r="O10" s="7" t="inlineStr">
        <is>
          <t>Titik Kota</t>
        </is>
      </c>
      <c r="P10" s="7" t="inlineStr">
        <is>
          <t>Titik Desa</t>
        </is>
      </c>
      <c r="Q10" s="7" t="inlineStr">
        <is>
          <t>Responden</t>
        </is>
      </c>
    </row>
    <row r="11">
      <c r="A11" s="6">
        <f>ROW()-10</f>
        <v/>
      </c>
      <c r="B11" s="16">
        <f>Referensi!B3</f>
        <v/>
      </c>
      <c r="C11" s="9">
        <f>Referensi!C3</f>
        <v/>
      </c>
      <c r="D11" s="9">
        <f>Referensi!D3</f>
        <v/>
      </c>
      <c r="E11" s="9">
        <f>IF(UPPER(Parameter!$B$6)="DPT",C11,D11)</f>
        <v/>
      </c>
      <c r="F11" s="17">
        <f>E11/SUM(E$11:E$48)</f>
        <v/>
      </c>
      <c r="G11" s="18">
        <f>$B$7*F11</f>
        <v/>
      </c>
      <c r="H11" s="6">
        <f>INT(G11)</f>
        <v/>
      </c>
      <c r="I11" s="17">
        <f>G11-H11</f>
        <v/>
      </c>
      <c r="J11" s="6">
        <f>RANK(I11,$I$11:$I$48)+COUNTIF($I$11:I11,I11)-1</f>
        <v/>
      </c>
      <c r="K11" s="6">
        <f>IF(J11&lt;=$B$8,1,0)</f>
        <v/>
      </c>
      <c r="L11" s="6">
        <f>$B$6+H11+K11</f>
        <v/>
      </c>
      <c r="M11" s="6">
        <f>COUNTIFS(MFD!$E:$E,B11,MFD!$I:$I,1)</f>
        <v/>
      </c>
      <c r="N11" s="6">
        <f>COUNTIFS(MFD!$E:$E,B11,MFD!$I:$I,2)</f>
        <v/>
      </c>
      <c r="O11" s="6">
        <f>IF((M11+N11)=0,0,ROUND(L11*M11/(M11+N11),0))</f>
        <v/>
      </c>
      <c r="P11" s="6">
        <f>L11-O11</f>
        <v/>
      </c>
      <c r="Q11" s="6">
        <f>L11*Parameter!$B$4</f>
        <v/>
      </c>
    </row>
    <row r="12">
      <c r="A12" s="6">
        <f>ROW()-10</f>
        <v/>
      </c>
      <c r="B12" s="16">
        <f>Referensi!B4</f>
        <v/>
      </c>
      <c r="C12" s="9">
        <f>Referensi!C4</f>
        <v/>
      </c>
      <c r="D12" s="9">
        <f>Referensi!D4</f>
        <v/>
      </c>
      <c r="E12" s="9">
        <f>IF(UPPER(Parameter!$B$6)="DPT",C12,D12)</f>
        <v/>
      </c>
      <c r="F12" s="17">
        <f>E12/SUM(E$11:E$48)</f>
        <v/>
      </c>
      <c r="G12" s="18">
        <f>$B$7*F12</f>
        <v/>
      </c>
      <c r="H12" s="6">
        <f>INT(G12)</f>
        <v/>
      </c>
      <c r="I12" s="17">
        <f>G12-H12</f>
        <v/>
      </c>
      <c r="J12" s="6">
        <f>RANK(I12,$I$11:$I$48)+COUNTIF($I$11:I12,I12)-1</f>
        <v/>
      </c>
      <c r="K12" s="6">
        <f>IF(J12&lt;=$B$8,1,0)</f>
        <v/>
      </c>
      <c r="L12" s="6">
        <f>$B$6+H12+K12</f>
        <v/>
      </c>
      <c r="M12" s="6">
        <f>COUNTIFS(MFD!$E:$E,B12,MFD!$I:$I,1)</f>
        <v/>
      </c>
      <c r="N12" s="6">
        <f>COUNTIFS(MFD!$E:$E,B12,MFD!$I:$I,2)</f>
        <v/>
      </c>
      <c r="O12" s="6">
        <f>IF((M12+N12)=0,0,ROUND(L12*M12/(M12+N12),0))</f>
        <v/>
      </c>
      <c r="P12" s="6">
        <f>L12-O12</f>
        <v/>
      </c>
      <c r="Q12" s="6">
        <f>L12*Parameter!$B$4</f>
        <v/>
      </c>
    </row>
    <row r="13">
      <c r="A13" s="6">
        <f>ROW()-10</f>
        <v/>
      </c>
      <c r="B13" s="16">
        <f>Referensi!B5</f>
        <v/>
      </c>
      <c r="C13" s="9">
        <f>Referensi!C5</f>
        <v/>
      </c>
      <c r="D13" s="9">
        <f>Referensi!D5</f>
        <v/>
      </c>
      <c r="E13" s="9">
        <f>IF(UPPER(Parameter!$B$6)="DPT",C13,D13)</f>
        <v/>
      </c>
      <c r="F13" s="17">
        <f>E13/SUM(E$11:E$48)</f>
        <v/>
      </c>
      <c r="G13" s="18">
        <f>$B$7*F13</f>
        <v/>
      </c>
      <c r="H13" s="6">
        <f>INT(G13)</f>
        <v/>
      </c>
      <c r="I13" s="17">
        <f>G13-H13</f>
        <v/>
      </c>
      <c r="J13" s="6">
        <f>RANK(I13,$I$11:$I$48)+COUNTIF($I$11:I13,I13)-1</f>
        <v/>
      </c>
      <c r="K13" s="6">
        <f>IF(J13&lt;=$B$8,1,0)</f>
        <v/>
      </c>
      <c r="L13" s="6">
        <f>$B$6+H13+K13</f>
        <v/>
      </c>
      <c r="M13" s="6">
        <f>COUNTIFS(MFD!$E:$E,B13,MFD!$I:$I,1)</f>
        <v/>
      </c>
      <c r="N13" s="6">
        <f>COUNTIFS(MFD!$E:$E,B13,MFD!$I:$I,2)</f>
        <v/>
      </c>
      <c r="O13" s="6">
        <f>IF((M13+N13)=0,0,ROUND(L13*M13/(M13+N13),0))</f>
        <v/>
      </c>
      <c r="P13" s="6">
        <f>L13-O13</f>
        <v/>
      </c>
      <c r="Q13" s="6">
        <f>L13*Parameter!$B$4</f>
        <v/>
      </c>
    </row>
    <row r="14">
      <c r="A14" s="6">
        <f>ROW()-10</f>
        <v/>
      </c>
      <c r="B14" s="16">
        <f>Referensi!B6</f>
        <v/>
      </c>
      <c r="C14" s="9">
        <f>Referensi!C6</f>
        <v/>
      </c>
      <c r="D14" s="9">
        <f>Referensi!D6</f>
        <v/>
      </c>
      <c r="E14" s="9">
        <f>IF(UPPER(Parameter!$B$6)="DPT",C14,D14)</f>
        <v/>
      </c>
      <c r="F14" s="17">
        <f>E14/SUM(E$11:E$48)</f>
        <v/>
      </c>
      <c r="G14" s="18">
        <f>$B$7*F14</f>
        <v/>
      </c>
      <c r="H14" s="6">
        <f>INT(G14)</f>
        <v/>
      </c>
      <c r="I14" s="17">
        <f>G14-H14</f>
        <v/>
      </c>
      <c r="J14" s="6">
        <f>RANK(I14,$I$11:$I$48)+COUNTIF($I$11:I14,I14)-1</f>
        <v/>
      </c>
      <c r="K14" s="6">
        <f>IF(J14&lt;=$B$8,1,0)</f>
        <v/>
      </c>
      <c r="L14" s="6">
        <f>$B$6+H14+K14</f>
        <v/>
      </c>
      <c r="M14" s="6">
        <f>COUNTIFS(MFD!$E:$E,B14,MFD!$I:$I,1)</f>
        <v/>
      </c>
      <c r="N14" s="6">
        <f>COUNTIFS(MFD!$E:$E,B14,MFD!$I:$I,2)</f>
        <v/>
      </c>
      <c r="O14" s="6">
        <f>IF((M14+N14)=0,0,ROUND(L14*M14/(M14+N14),0))</f>
        <v/>
      </c>
      <c r="P14" s="6">
        <f>L14-O14</f>
        <v/>
      </c>
      <c r="Q14" s="6">
        <f>L14*Parameter!$B$4</f>
        <v/>
      </c>
    </row>
    <row r="15">
      <c r="A15" s="6">
        <f>ROW()-10</f>
        <v/>
      </c>
      <c r="B15" s="16">
        <f>Referensi!B7</f>
        <v/>
      </c>
      <c r="C15" s="9">
        <f>Referensi!C7</f>
        <v/>
      </c>
      <c r="D15" s="9">
        <f>Referensi!D7</f>
        <v/>
      </c>
      <c r="E15" s="9">
        <f>IF(UPPER(Parameter!$B$6)="DPT",C15,D15)</f>
        <v/>
      </c>
      <c r="F15" s="17">
        <f>E15/SUM(E$11:E$48)</f>
        <v/>
      </c>
      <c r="G15" s="18">
        <f>$B$7*F15</f>
        <v/>
      </c>
      <c r="H15" s="6">
        <f>INT(G15)</f>
        <v/>
      </c>
      <c r="I15" s="17">
        <f>G15-H15</f>
        <v/>
      </c>
      <c r="J15" s="6">
        <f>RANK(I15,$I$11:$I$48)+COUNTIF($I$11:I15,I15)-1</f>
        <v/>
      </c>
      <c r="K15" s="6">
        <f>IF(J15&lt;=$B$8,1,0)</f>
        <v/>
      </c>
      <c r="L15" s="6">
        <f>$B$6+H15+K15</f>
        <v/>
      </c>
      <c r="M15" s="6">
        <f>COUNTIFS(MFD!$E:$E,B15,MFD!$I:$I,1)</f>
        <v/>
      </c>
      <c r="N15" s="6">
        <f>COUNTIFS(MFD!$E:$E,B15,MFD!$I:$I,2)</f>
        <v/>
      </c>
      <c r="O15" s="6">
        <f>IF((M15+N15)=0,0,ROUND(L15*M15/(M15+N15),0))</f>
        <v/>
      </c>
      <c r="P15" s="6">
        <f>L15-O15</f>
        <v/>
      </c>
      <c r="Q15" s="6">
        <f>L15*Parameter!$B$4</f>
        <v/>
      </c>
    </row>
    <row r="16">
      <c r="A16" s="6">
        <f>ROW()-10</f>
        <v/>
      </c>
      <c r="B16" s="16">
        <f>Referensi!B8</f>
        <v/>
      </c>
      <c r="C16" s="9">
        <f>Referensi!C8</f>
        <v/>
      </c>
      <c r="D16" s="9">
        <f>Referensi!D8</f>
        <v/>
      </c>
      <c r="E16" s="9">
        <f>IF(UPPER(Parameter!$B$6)="DPT",C16,D16)</f>
        <v/>
      </c>
      <c r="F16" s="17">
        <f>E16/SUM(E$11:E$48)</f>
        <v/>
      </c>
      <c r="G16" s="18">
        <f>$B$7*F16</f>
        <v/>
      </c>
      <c r="H16" s="6">
        <f>INT(G16)</f>
        <v/>
      </c>
      <c r="I16" s="17">
        <f>G16-H16</f>
        <v/>
      </c>
      <c r="J16" s="6">
        <f>RANK(I16,$I$11:$I$48)+COUNTIF($I$11:I16,I16)-1</f>
        <v/>
      </c>
      <c r="K16" s="6">
        <f>IF(J16&lt;=$B$8,1,0)</f>
        <v/>
      </c>
      <c r="L16" s="6">
        <f>$B$6+H16+K16</f>
        <v/>
      </c>
      <c r="M16" s="6">
        <f>COUNTIFS(MFD!$E:$E,B16,MFD!$I:$I,1)</f>
        <v/>
      </c>
      <c r="N16" s="6">
        <f>COUNTIFS(MFD!$E:$E,B16,MFD!$I:$I,2)</f>
        <v/>
      </c>
      <c r="O16" s="6">
        <f>IF((M16+N16)=0,0,ROUND(L16*M16/(M16+N16),0))</f>
        <v/>
      </c>
      <c r="P16" s="6">
        <f>L16-O16</f>
        <v/>
      </c>
      <c r="Q16" s="6">
        <f>L16*Parameter!$B$4</f>
        <v/>
      </c>
    </row>
    <row r="17">
      <c r="A17" s="6">
        <f>ROW()-10</f>
        <v/>
      </c>
      <c r="B17" s="16">
        <f>Referensi!B9</f>
        <v/>
      </c>
      <c r="C17" s="9">
        <f>Referensi!C9</f>
        <v/>
      </c>
      <c r="D17" s="9">
        <f>Referensi!D9</f>
        <v/>
      </c>
      <c r="E17" s="9">
        <f>IF(UPPER(Parameter!$B$6)="DPT",C17,D17)</f>
        <v/>
      </c>
      <c r="F17" s="17">
        <f>E17/SUM(E$11:E$48)</f>
        <v/>
      </c>
      <c r="G17" s="18">
        <f>$B$7*F17</f>
        <v/>
      </c>
      <c r="H17" s="6">
        <f>INT(G17)</f>
        <v/>
      </c>
      <c r="I17" s="17">
        <f>G17-H17</f>
        <v/>
      </c>
      <c r="J17" s="6">
        <f>RANK(I17,$I$11:$I$48)+COUNTIF($I$11:I17,I17)-1</f>
        <v/>
      </c>
      <c r="K17" s="6">
        <f>IF(J17&lt;=$B$8,1,0)</f>
        <v/>
      </c>
      <c r="L17" s="6">
        <f>$B$6+H17+K17</f>
        <v/>
      </c>
      <c r="M17" s="6">
        <f>COUNTIFS(MFD!$E:$E,B17,MFD!$I:$I,1)</f>
        <v/>
      </c>
      <c r="N17" s="6">
        <f>COUNTIFS(MFD!$E:$E,B17,MFD!$I:$I,2)</f>
        <v/>
      </c>
      <c r="O17" s="6">
        <f>IF((M17+N17)=0,0,ROUND(L17*M17/(M17+N17),0))</f>
        <v/>
      </c>
      <c r="P17" s="6">
        <f>L17-O17</f>
        <v/>
      </c>
      <c r="Q17" s="6">
        <f>L17*Parameter!$B$4</f>
        <v/>
      </c>
    </row>
    <row r="18">
      <c r="A18" s="6">
        <f>ROW()-10</f>
        <v/>
      </c>
      <c r="B18" s="16">
        <f>Referensi!B10</f>
        <v/>
      </c>
      <c r="C18" s="9">
        <f>Referensi!C10</f>
        <v/>
      </c>
      <c r="D18" s="9">
        <f>Referensi!D10</f>
        <v/>
      </c>
      <c r="E18" s="9">
        <f>IF(UPPER(Parameter!$B$6)="DPT",C18,D18)</f>
        <v/>
      </c>
      <c r="F18" s="17">
        <f>E18/SUM(E$11:E$48)</f>
        <v/>
      </c>
      <c r="G18" s="18">
        <f>$B$7*F18</f>
        <v/>
      </c>
      <c r="H18" s="6">
        <f>INT(G18)</f>
        <v/>
      </c>
      <c r="I18" s="17">
        <f>G18-H18</f>
        <v/>
      </c>
      <c r="J18" s="6">
        <f>RANK(I18,$I$11:$I$48)+COUNTIF($I$11:I18,I18)-1</f>
        <v/>
      </c>
      <c r="K18" s="6">
        <f>IF(J18&lt;=$B$8,1,0)</f>
        <v/>
      </c>
      <c r="L18" s="6">
        <f>$B$6+H18+K18</f>
        <v/>
      </c>
      <c r="M18" s="6">
        <f>COUNTIFS(MFD!$E:$E,B18,MFD!$I:$I,1)</f>
        <v/>
      </c>
      <c r="N18" s="6">
        <f>COUNTIFS(MFD!$E:$E,B18,MFD!$I:$I,2)</f>
        <v/>
      </c>
      <c r="O18" s="6">
        <f>IF((M18+N18)=0,0,ROUND(L18*M18/(M18+N18),0))</f>
        <v/>
      </c>
      <c r="P18" s="6">
        <f>L18-O18</f>
        <v/>
      </c>
      <c r="Q18" s="6">
        <f>L18*Parameter!$B$4</f>
        <v/>
      </c>
    </row>
    <row r="19">
      <c r="A19" s="6">
        <f>ROW()-10</f>
        <v/>
      </c>
      <c r="B19" s="16">
        <f>Referensi!B11</f>
        <v/>
      </c>
      <c r="C19" s="9">
        <f>Referensi!C11</f>
        <v/>
      </c>
      <c r="D19" s="9">
        <f>Referensi!D11</f>
        <v/>
      </c>
      <c r="E19" s="9">
        <f>IF(UPPER(Parameter!$B$6)="DPT",C19,D19)</f>
        <v/>
      </c>
      <c r="F19" s="17">
        <f>E19/SUM(E$11:E$48)</f>
        <v/>
      </c>
      <c r="G19" s="18">
        <f>$B$7*F19</f>
        <v/>
      </c>
      <c r="H19" s="6">
        <f>INT(G19)</f>
        <v/>
      </c>
      <c r="I19" s="17">
        <f>G19-H19</f>
        <v/>
      </c>
      <c r="J19" s="6">
        <f>RANK(I19,$I$11:$I$48)+COUNTIF($I$11:I19,I19)-1</f>
        <v/>
      </c>
      <c r="K19" s="6">
        <f>IF(J19&lt;=$B$8,1,0)</f>
        <v/>
      </c>
      <c r="L19" s="6">
        <f>$B$6+H19+K19</f>
        <v/>
      </c>
      <c r="M19" s="6">
        <f>COUNTIFS(MFD!$E:$E,B19,MFD!$I:$I,1)</f>
        <v/>
      </c>
      <c r="N19" s="6">
        <f>COUNTIFS(MFD!$E:$E,B19,MFD!$I:$I,2)</f>
        <v/>
      </c>
      <c r="O19" s="6">
        <f>IF((M19+N19)=0,0,ROUND(L19*M19/(M19+N19),0))</f>
        <v/>
      </c>
      <c r="P19" s="6">
        <f>L19-O19</f>
        <v/>
      </c>
      <c r="Q19" s="6">
        <f>L19*Parameter!$B$4</f>
        <v/>
      </c>
    </row>
    <row r="20">
      <c r="A20" s="6">
        <f>ROW()-10</f>
        <v/>
      </c>
      <c r="B20" s="16">
        <f>Referensi!B12</f>
        <v/>
      </c>
      <c r="C20" s="9">
        <f>Referensi!C12</f>
        <v/>
      </c>
      <c r="D20" s="9">
        <f>Referensi!D12</f>
        <v/>
      </c>
      <c r="E20" s="9">
        <f>IF(UPPER(Parameter!$B$6)="DPT",C20,D20)</f>
        <v/>
      </c>
      <c r="F20" s="17">
        <f>E20/SUM(E$11:E$48)</f>
        <v/>
      </c>
      <c r="G20" s="18">
        <f>$B$7*F20</f>
        <v/>
      </c>
      <c r="H20" s="6">
        <f>INT(G20)</f>
        <v/>
      </c>
      <c r="I20" s="17">
        <f>G20-H20</f>
        <v/>
      </c>
      <c r="J20" s="6">
        <f>RANK(I20,$I$11:$I$48)+COUNTIF($I$11:I20,I20)-1</f>
        <v/>
      </c>
      <c r="K20" s="6">
        <f>IF(J20&lt;=$B$8,1,0)</f>
        <v/>
      </c>
      <c r="L20" s="6">
        <f>$B$6+H20+K20</f>
        <v/>
      </c>
      <c r="M20" s="6">
        <f>COUNTIFS(MFD!$E:$E,B20,MFD!$I:$I,1)</f>
        <v/>
      </c>
      <c r="N20" s="6">
        <f>COUNTIFS(MFD!$E:$E,B20,MFD!$I:$I,2)</f>
        <v/>
      </c>
      <c r="O20" s="6">
        <f>IF((M20+N20)=0,0,ROUND(L20*M20/(M20+N20),0))</f>
        <v/>
      </c>
      <c r="P20" s="6">
        <f>L20-O20</f>
        <v/>
      </c>
      <c r="Q20" s="6">
        <f>L20*Parameter!$B$4</f>
        <v/>
      </c>
    </row>
    <row r="21">
      <c r="A21" s="6">
        <f>ROW()-10</f>
        <v/>
      </c>
      <c r="B21" s="16">
        <f>Referensi!B13</f>
        <v/>
      </c>
      <c r="C21" s="9">
        <f>Referensi!C13</f>
        <v/>
      </c>
      <c r="D21" s="9">
        <f>Referensi!D13</f>
        <v/>
      </c>
      <c r="E21" s="9">
        <f>IF(UPPER(Parameter!$B$6)="DPT",C21,D21)</f>
        <v/>
      </c>
      <c r="F21" s="17">
        <f>E21/SUM(E$11:E$48)</f>
        <v/>
      </c>
      <c r="G21" s="18">
        <f>$B$7*F21</f>
        <v/>
      </c>
      <c r="H21" s="6">
        <f>INT(G21)</f>
        <v/>
      </c>
      <c r="I21" s="17">
        <f>G21-H21</f>
        <v/>
      </c>
      <c r="J21" s="6">
        <f>RANK(I21,$I$11:$I$48)+COUNTIF($I$11:I21,I21)-1</f>
        <v/>
      </c>
      <c r="K21" s="6">
        <f>IF(J21&lt;=$B$8,1,0)</f>
        <v/>
      </c>
      <c r="L21" s="6">
        <f>$B$6+H21+K21</f>
        <v/>
      </c>
      <c r="M21" s="6">
        <f>COUNTIFS(MFD!$E:$E,B21,MFD!$I:$I,1)</f>
        <v/>
      </c>
      <c r="N21" s="6">
        <f>COUNTIFS(MFD!$E:$E,B21,MFD!$I:$I,2)</f>
        <v/>
      </c>
      <c r="O21" s="6">
        <f>IF((M21+N21)=0,0,ROUND(L21*M21/(M21+N21),0))</f>
        <v/>
      </c>
      <c r="P21" s="6">
        <f>L21-O21</f>
        <v/>
      </c>
      <c r="Q21" s="6">
        <f>L21*Parameter!$B$4</f>
        <v/>
      </c>
    </row>
    <row r="22">
      <c r="A22" s="6">
        <f>ROW()-10</f>
        <v/>
      </c>
      <c r="B22" s="16">
        <f>Referensi!B14</f>
        <v/>
      </c>
      <c r="C22" s="9">
        <f>Referensi!C14</f>
        <v/>
      </c>
      <c r="D22" s="9">
        <f>Referensi!D14</f>
        <v/>
      </c>
      <c r="E22" s="9">
        <f>IF(UPPER(Parameter!$B$6)="DPT",C22,D22)</f>
        <v/>
      </c>
      <c r="F22" s="17">
        <f>E22/SUM(E$11:E$48)</f>
        <v/>
      </c>
      <c r="G22" s="18">
        <f>$B$7*F22</f>
        <v/>
      </c>
      <c r="H22" s="6">
        <f>INT(G22)</f>
        <v/>
      </c>
      <c r="I22" s="17">
        <f>G22-H22</f>
        <v/>
      </c>
      <c r="J22" s="6">
        <f>RANK(I22,$I$11:$I$48)+COUNTIF($I$11:I22,I22)-1</f>
        <v/>
      </c>
      <c r="K22" s="6">
        <f>IF(J22&lt;=$B$8,1,0)</f>
        <v/>
      </c>
      <c r="L22" s="6">
        <f>$B$6+H22+K22</f>
        <v/>
      </c>
      <c r="M22" s="6">
        <f>COUNTIFS(MFD!$E:$E,B22,MFD!$I:$I,1)</f>
        <v/>
      </c>
      <c r="N22" s="6">
        <f>COUNTIFS(MFD!$E:$E,B22,MFD!$I:$I,2)</f>
        <v/>
      </c>
      <c r="O22" s="6">
        <f>IF((M22+N22)=0,0,ROUND(L22*M22/(M22+N22),0))</f>
        <v/>
      </c>
      <c r="P22" s="6">
        <f>L22-O22</f>
        <v/>
      </c>
      <c r="Q22" s="6">
        <f>L22*Parameter!$B$4</f>
        <v/>
      </c>
    </row>
    <row r="23">
      <c r="A23" s="6">
        <f>ROW()-10</f>
        <v/>
      </c>
      <c r="B23" s="16">
        <f>Referensi!B15</f>
        <v/>
      </c>
      <c r="C23" s="9">
        <f>Referensi!C15</f>
        <v/>
      </c>
      <c r="D23" s="9">
        <f>Referensi!D15</f>
        <v/>
      </c>
      <c r="E23" s="9">
        <f>IF(UPPER(Parameter!$B$6)="DPT",C23,D23)</f>
        <v/>
      </c>
      <c r="F23" s="17">
        <f>E23/SUM(E$11:E$48)</f>
        <v/>
      </c>
      <c r="G23" s="18">
        <f>$B$7*F23</f>
        <v/>
      </c>
      <c r="H23" s="6">
        <f>INT(G23)</f>
        <v/>
      </c>
      <c r="I23" s="17">
        <f>G23-H23</f>
        <v/>
      </c>
      <c r="J23" s="6">
        <f>RANK(I23,$I$11:$I$48)+COUNTIF($I$11:I23,I23)-1</f>
        <v/>
      </c>
      <c r="K23" s="6">
        <f>IF(J23&lt;=$B$8,1,0)</f>
        <v/>
      </c>
      <c r="L23" s="6">
        <f>$B$6+H23+K23</f>
        <v/>
      </c>
      <c r="M23" s="6">
        <f>COUNTIFS(MFD!$E:$E,B23,MFD!$I:$I,1)</f>
        <v/>
      </c>
      <c r="N23" s="6">
        <f>COUNTIFS(MFD!$E:$E,B23,MFD!$I:$I,2)</f>
        <v/>
      </c>
      <c r="O23" s="6">
        <f>IF((M23+N23)=0,0,ROUND(L23*M23/(M23+N23),0))</f>
        <v/>
      </c>
      <c r="P23" s="6">
        <f>L23-O23</f>
        <v/>
      </c>
      <c r="Q23" s="6">
        <f>L23*Parameter!$B$4</f>
        <v/>
      </c>
    </row>
    <row r="24">
      <c r="A24" s="6">
        <f>ROW()-10</f>
        <v/>
      </c>
      <c r="B24" s="16">
        <f>Referensi!B16</f>
        <v/>
      </c>
      <c r="C24" s="9">
        <f>Referensi!C16</f>
        <v/>
      </c>
      <c r="D24" s="9">
        <f>Referensi!D16</f>
        <v/>
      </c>
      <c r="E24" s="9">
        <f>IF(UPPER(Parameter!$B$6)="DPT",C24,D24)</f>
        <v/>
      </c>
      <c r="F24" s="17">
        <f>E24/SUM(E$11:E$48)</f>
        <v/>
      </c>
      <c r="G24" s="18">
        <f>$B$7*F24</f>
        <v/>
      </c>
      <c r="H24" s="6">
        <f>INT(G24)</f>
        <v/>
      </c>
      <c r="I24" s="17">
        <f>G24-H24</f>
        <v/>
      </c>
      <c r="J24" s="6">
        <f>RANK(I24,$I$11:$I$48)+COUNTIF($I$11:I24,I24)-1</f>
        <v/>
      </c>
      <c r="K24" s="6">
        <f>IF(J24&lt;=$B$8,1,0)</f>
        <v/>
      </c>
      <c r="L24" s="6">
        <f>$B$6+H24+K24</f>
        <v/>
      </c>
      <c r="M24" s="6">
        <f>COUNTIFS(MFD!$E:$E,B24,MFD!$I:$I,1)</f>
        <v/>
      </c>
      <c r="N24" s="6">
        <f>COUNTIFS(MFD!$E:$E,B24,MFD!$I:$I,2)</f>
        <v/>
      </c>
      <c r="O24" s="6">
        <f>IF((M24+N24)=0,0,ROUND(L24*M24/(M24+N24),0))</f>
        <v/>
      </c>
      <c r="P24" s="6">
        <f>L24-O24</f>
        <v/>
      </c>
      <c r="Q24" s="6">
        <f>L24*Parameter!$B$4</f>
        <v/>
      </c>
    </row>
    <row r="25">
      <c r="A25" s="6">
        <f>ROW()-10</f>
        <v/>
      </c>
      <c r="B25" s="16">
        <f>Referensi!B17</f>
        <v/>
      </c>
      <c r="C25" s="9">
        <f>Referensi!C17</f>
        <v/>
      </c>
      <c r="D25" s="9">
        <f>Referensi!D17</f>
        <v/>
      </c>
      <c r="E25" s="9">
        <f>IF(UPPER(Parameter!$B$6)="DPT",C25,D25)</f>
        <v/>
      </c>
      <c r="F25" s="17">
        <f>E25/SUM(E$11:E$48)</f>
        <v/>
      </c>
      <c r="G25" s="18">
        <f>$B$7*F25</f>
        <v/>
      </c>
      <c r="H25" s="6">
        <f>INT(G25)</f>
        <v/>
      </c>
      <c r="I25" s="17">
        <f>G25-H25</f>
        <v/>
      </c>
      <c r="J25" s="6">
        <f>RANK(I25,$I$11:$I$48)+COUNTIF($I$11:I25,I25)-1</f>
        <v/>
      </c>
      <c r="K25" s="6">
        <f>IF(J25&lt;=$B$8,1,0)</f>
        <v/>
      </c>
      <c r="L25" s="6">
        <f>$B$6+H25+K25</f>
        <v/>
      </c>
      <c r="M25" s="6">
        <f>COUNTIFS(MFD!$E:$E,B25,MFD!$I:$I,1)</f>
        <v/>
      </c>
      <c r="N25" s="6">
        <f>COUNTIFS(MFD!$E:$E,B25,MFD!$I:$I,2)</f>
        <v/>
      </c>
      <c r="O25" s="6">
        <f>IF((M25+N25)=0,0,ROUND(L25*M25/(M25+N25),0))</f>
        <v/>
      </c>
      <c r="P25" s="6">
        <f>L25-O25</f>
        <v/>
      </c>
      <c r="Q25" s="6">
        <f>L25*Parameter!$B$4</f>
        <v/>
      </c>
    </row>
    <row r="26">
      <c r="A26" s="6">
        <f>ROW()-10</f>
        <v/>
      </c>
      <c r="B26" s="16">
        <f>Referensi!B18</f>
        <v/>
      </c>
      <c r="C26" s="9">
        <f>Referensi!C18</f>
        <v/>
      </c>
      <c r="D26" s="9">
        <f>Referensi!D18</f>
        <v/>
      </c>
      <c r="E26" s="9">
        <f>IF(UPPER(Parameter!$B$6)="DPT",C26,D26)</f>
        <v/>
      </c>
      <c r="F26" s="17">
        <f>E26/SUM(E$11:E$48)</f>
        <v/>
      </c>
      <c r="G26" s="18">
        <f>$B$7*F26</f>
        <v/>
      </c>
      <c r="H26" s="6">
        <f>INT(G26)</f>
        <v/>
      </c>
      <c r="I26" s="17">
        <f>G26-H26</f>
        <v/>
      </c>
      <c r="J26" s="6">
        <f>RANK(I26,$I$11:$I$48)+COUNTIF($I$11:I26,I26)-1</f>
        <v/>
      </c>
      <c r="K26" s="6">
        <f>IF(J26&lt;=$B$8,1,0)</f>
        <v/>
      </c>
      <c r="L26" s="6">
        <f>$B$6+H26+K26</f>
        <v/>
      </c>
      <c r="M26" s="6">
        <f>COUNTIFS(MFD!$E:$E,B26,MFD!$I:$I,1)</f>
        <v/>
      </c>
      <c r="N26" s="6">
        <f>COUNTIFS(MFD!$E:$E,B26,MFD!$I:$I,2)</f>
        <v/>
      </c>
      <c r="O26" s="6">
        <f>IF((M26+N26)=0,0,ROUND(L26*M26/(M26+N26),0))</f>
        <v/>
      </c>
      <c r="P26" s="6">
        <f>L26-O26</f>
        <v/>
      </c>
      <c r="Q26" s="6">
        <f>L26*Parameter!$B$4</f>
        <v/>
      </c>
    </row>
    <row r="27">
      <c r="A27" s="6">
        <f>ROW()-10</f>
        <v/>
      </c>
      <c r="B27" s="16">
        <f>Referensi!B19</f>
        <v/>
      </c>
      <c r="C27" s="9">
        <f>Referensi!C19</f>
        <v/>
      </c>
      <c r="D27" s="9">
        <f>Referensi!D19</f>
        <v/>
      </c>
      <c r="E27" s="9">
        <f>IF(UPPER(Parameter!$B$6)="DPT",C27,D27)</f>
        <v/>
      </c>
      <c r="F27" s="17">
        <f>E27/SUM(E$11:E$48)</f>
        <v/>
      </c>
      <c r="G27" s="18">
        <f>$B$7*F27</f>
        <v/>
      </c>
      <c r="H27" s="6">
        <f>INT(G27)</f>
        <v/>
      </c>
      <c r="I27" s="17">
        <f>G27-H27</f>
        <v/>
      </c>
      <c r="J27" s="6">
        <f>RANK(I27,$I$11:$I$48)+COUNTIF($I$11:I27,I27)-1</f>
        <v/>
      </c>
      <c r="K27" s="6">
        <f>IF(J27&lt;=$B$8,1,0)</f>
        <v/>
      </c>
      <c r="L27" s="6">
        <f>$B$6+H27+K27</f>
        <v/>
      </c>
      <c r="M27" s="6">
        <f>COUNTIFS(MFD!$E:$E,B27,MFD!$I:$I,1)</f>
        <v/>
      </c>
      <c r="N27" s="6">
        <f>COUNTIFS(MFD!$E:$E,B27,MFD!$I:$I,2)</f>
        <v/>
      </c>
      <c r="O27" s="6">
        <f>IF((M27+N27)=0,0,ROUND(L27*M27/(M27+N27),0))</f>
        <v/>
      </c>
      <c r="P27" s="6">
        <f>L27-O27</f>
        <v/>
      </c>
      <c r="Q27" s="6">
        <f>L27*Parameter!$B$4</f>
        <v/>
      </c>
    </row>
    <row r="28">
      <c r="A28" s="6">
        <f>ROW()-10</f>
        <v/>
      </c>
      <c r="B28" s="16">
        <f>Referensi!B20</f>
        <v/>
      </c>
      <c r="C28" s="9">
        <f>Referensi!C20</f>
        <v/>
      </c>
      <c r="D28" s="9">
        <f>Referensi!D20</f>
        <v/>
      </c>
      <c r="E28" s="9">
        <f>IF(UPPER(Parameter!$B$6)="DPT",C28,D28)</f>
        <v/>
      </c>
      <c r="F28" s="17">
        <f>E28/SUM(E$11:E$48)</f>
        <v/>
      </c>
      <c r="G28" s="18">
        <f>$B$7*F28</f>
        <v/>
      </c>
      <c r="H28" s="6">
        <f>INT(G28)</f>
        <v/>
      </c>
      <c r="I28" s="17">
        <f>G28-H28</f>
        <v/>
      </c>
      <c r="J28" s="6">
        <f>RANK(I28,$I$11:$I$48)+COUNTIF($I$11:I28,I28)-1</f>
        <v/>
      </c>
      <c r="K28" s="6">
        <f>IF(J28&lt;=$B$8,1,0)</f>
        <v/>
      </c>
      <c r="L28" s="6">
        <f>$B$6+H28+K28</f>
        <v/>
      </c>
      <c r="M28" s="6">
        <f>COUNTIFS(MFD!$E:$E,B28,MFD!$I:$I,1)</f>
        <v/>
      </c>
      <c r="N28" s="6">
        <f>COUNTIFS(MFD!$E:$E,B28,MFD!$I:$I,2)</f>
        <v/>
      </c>
      <c r="O28" s="6">
        <f>IF((M28+N28)=0,0,ROUND(L28*M28/(M28+N28),0))</f>
        <v/>
      </c>
      <c r="P28" s="6">
        <f>L28-O28</f>
        <v/>
      </c>
      <c r="Q28" s="6">
        <f>L28*Parameter!$B$4</f>
        <v/>
      </c>
    </row>
    <row r="29">
      <c r="A29" s="6">
        <f>ROW()-10</f>
        <v/>
      </c>
      <c r="B29" s="16">
        <f>Referensi!B21</f>
        <v/>
      </c>
      <c r="C29" s="9">
        <f>Referensi!C21</f>
        <v/>
      </c>
      <c r="D29" s="9">
        <f>Referensi!D21</f>
        <v/>
      </c>
      <c r="E29" s="9">
        <f>IF(UPPER(Parameter!$B$6)="DPT",C29,D29)</f>
        <v/>
      </c>
      <c r="F29" s="17">
        <f>E29/SUM(E$11:E$48)</f>
        <v/>
      </c>
      <c r="G29" s="18">
        <f>$B$7*F29</f>
        <v/>
      </c>
      <c r="H29" s="6">
        <f>INT(G29)</f>
        <v/>
      </c>
      <c r="I29" s="17">
        <f>G29-H29</f>
        <v/>
      </c>
      <c r="J29" s="6">
        <f>RANK(I29,$I$11:$I$48)+COUNTIF($I$11:I29,I29)-1</f>
        <v/>
      </c>
      <c r="K29" s="6">
        <f>IF(J29&lt;=$B$8,1,0)</f>
        <v/>
      </c>
      <c r="L29" s="6">
        <f>$B$6+H29+K29</f>
        <v/>
      </c>
      <c r="M29" s="6">
        <f>COUNTIFS(MFD!$E:$E,B29,MFD!$I:$I,1)</f>
        <v/>
      </c>
      <c r="N29" s="6">
        <f>COUNTIFS(MFD!$E:$E,B29,MFD!$I:$I,2)</f>
        <v/>
      </c>
      <c r="O29" s="6">
        <f>IF((M29+N29)=0,0,ROUND(L29*M29/(M29+N29),0))</f>
        <v/>
      </c>
      <c r="P29" s="6">
        <f>L29-O29</f>
        <v/>
      </c>
      <c r="Q29" s="6">
        <f>L29*Parameter!$B$4</f>
        <v/>
      </c>
    </row>
    <row r="30">
      <c r="A30" s="6">
        <f>ROW()-10</f>
        <v/>
      </c>
      <c r="B30" s="16">
        <f>Referensi!B22</f>
        <v/>
      </c>
      <c r="C30" s="9">
        <f>Referensi!C22</f>
        <v/>
      </c>
      <c r="D30" s="9">
        <f>Referensi!D22</f>
        <v/>
      </c>
      <c r="E30" s="9">
        <f>IF(UPPER(Parameter!$B$6)="DPT",C30,D30)</f>
        <v/>
      </c>
      <c r="F30" s="17">
        <f>E30/SUM(E$11:E$48)</f>
        <v/>
      </c>
      <c r="G30" s="18">
        <f>$B$7*F30</f>
        <v/>
      </c>
      <c r="H30" s="6">
        <f>INT(G30)</f>
        <v/>
      </c>
      <c r="I30" s="17">
        <f>G30-H30</f>
        <v/>
      </c>
      <c r="J30" s="6">
        <f>RANK(I30,$I$11:$I$48)+COUNTIF($I$11:I30,I30)-1</f>
        <v/>
      </c>
      <c r="K30" s="6">
        <f>IF(J30&lt;=$B$8,1,0)</f>
        <v/>
      </c>
      <c r="L30" s="6">
        <f>$B$6+H30+K30</f>
        <v/>
      </c>
      <c r="M30" s="6">
        <f>COUNTIFS(MFD!$E:$E,B30,MFD!$I:$I,1)</f>
        <v/>
      </c>
      <c r="N30" s="6">
        <f>COUNTIFS(MFD!$E:$E,B30,MFD!$I:$I,2)</f>
        <v/>
      </c>
      <c r="O30" s="6">
        <f>IF((M30+N30)=0,0,ROUND(L30*M30/(M30+N30),0))</f>
        <v/>
      </c>
      <c r="P30" s="6">
        <f>L30-O30</f>
        <v/>
      </c>
      <c r="Q30" s="6">
        <f>L30*Parameter!$B$4</f>
        <v/>
      </c>
    </row>
    <row r="31">
      <c r="A31" s="6">
        <f>ROW()-10</f>
        <v/>
      </c>
      <c r="B31" s="16">
        <f>Referensi!B23</f>
        <v/>
      </c>
      <c r="C31" s="9">
        <f>Referensi!C23</f>
        <v/>
      </c>
      <c r="D31" s="9">
        <f>Referensi!D23</f>
        <v/>
      </c>
      <c r="E31" s="9">
        <f>IF(UPPER(Parameter!$B$6)="DPT",C31,D31)</f>
        <v/>
      </c>
      <c r="F31" s="17">
        <f>E31/SUM(E$11:E$48)</f>
        <v/>
      </c>
      <c r="G31" s="18">
        <f>$B$7*F31</f>
        <v/>
      </c>
      <c r="H31" s="6">
        <f>INT(G31)</f>
        <v/>
      </c>
      <c r="I31" s="17">
        <f>G31-H31</f>
        <v/>
      </c>
      <c r="J31" s="6">
        <f>RANK(I31,$I$11:$I$48)+COUNTIF($I$11:I31,I31)-1</f>
        <v/>
      </c>
      <c r="K31" s="6">
        <f>IF(J31&lt;=$B$8,1,0)</f>
        <v/>
      </c>
      <c r="L31" s="6">
        <f>$B$6+H31+K31</f>
        <v/>
      </c>
      <c r="M31" s="6">
        <f>COUNTIFS(MFD!$E:$E,B31,MFD!$I:$I,1)</f>
        <v/>
      </c>
      <c r="N31" s="6">
        <f>COUNTIFS(MFD!$E:$E,B31,MFD!$I:$I,2)</f>
        <v/>
      </c>
      <c r="O31" s="6">
        <f>IF((M31+N31)=0,0,ROUND(L31*M31/(M31+N31),0))</f>
        <v/>
      </c>
      <c r="P31" s="6">
        <f>L31-O31</f>
        <v/>
      </c>
      <c r="Q31" s="6">
        <f>L31*Parameter!$B$4</f>
        <v/>
      </c>
    </row>
    <row r="32">
      <c r="A32" s="6">
        <f>ROW()-10</f>
        <v/>
      </c>
      <c r="B32" s="16">
        <f>Referensi!B24</f>
        <v/>
      </c>
      <c r="C32" s="9">
        <f>Referensi!C24</f>
        <v/>
      </c>
      <c r="D32" s="9">
        <f>Referensi!D24</f>
        <v/>
      </c>
      <c r="E32" s="9">
        <f>IF(UPPER(Parameter!$B$6)="DPT",C32,D32)</f>
        <v/>
      </c>
      <c r="F32" s="17">
        <f>E32/SUM(E$11:E$48)</f>
        <v/>
      </c>
      <c r="G32" s="18">
        <f>$B$7*F32</f>
        <v/>
      </c>
      <c r="H32" s="6">
        <f>INT(G32)</f>
        <v/>
      </c>
      <c r="I32" s="17">
        <f>G32-H32</f>
        <v/>
      </c>
      <c r="J32" s="6">
        <f>RANK(I32,$I$11:$I$48)+COUNTIF($I$11:I32,I32)-1</f>
        <v/>
      </c>
      <c r="K32" s="6">
        <f>IF(J32&lt;=$B$8,1,0)</f>
        <v/>
      </c>
      <c r="L32" s="6">
        <f>$B$6+H32+K32</f>
        <v/>
      </c>
      <c r="M32" s="6">
        <f>COUNTIFS(MFD!$E:$E,B32,MFD!$I:$I,1)</f>
        <v/>
      </c>
      <c r="N32" s="6">
        <f>COUNTIFS(MFD!$E:$E,B32,MFD!$I:$I,2)</f>
        <v/>
      </c>
      <c r="O32" s="6">
        <f>IF((M32+N32)=0,0,ROUND(L32*M32/(M32+N32),0))</f>
        <v/>
      </c>
      <c r="P32" s="6">
        <f>L32-O32</f>
        <v/>
      </c>
      <c r="Q32" s="6">
        <f>L32*Parameter!$B$4</f>
        <v/>
      </c>
    </row>
    <row r="33">
      <c r="A33" s="6">
        <f>ROW()-10</f>
        <v/>
      </c>
      <c r="B33" s="16">
        <f>Referensi!B25</f>
        <v/>
      </c>
      <c r="C33" s="9">
        <f>Referensi!C25</f>
        <v/>
      </c>
      <c r="D33" s="9">
        <f>Referensi!D25</f>
        <v/>
      </c>
      <c r="E33" s="9">
        <f>IF(UPPER(Parameter!$B$6)="DPT",C33,D33)</f>
        <v/>
      </c>
      <c r="F33" s="17">
        <f>E33/SUM(E$11:E$48)</f>
        <v/>
      </c>
      <c r="G33" s="18">
        <f>$B$7*F33</f>
        <v/>
      </c>
      <c r="H33" s="6">
        <f>INT(G33)</f>
        <v/>
      </c>
      <c r="I33" s="17">
        <f>G33-H33</f>
        <v/>
      </c>
      <c r="J33" s="6">
        <f>RANK(I33,$I$11:$I$48)+COUNTIF($I$11:I33,I33)-1</f>
        <v/>
      </c>
      <c r="K33" s="6">
        <f>IF(J33&lt;=$B$8,1,0)</f>
        <v/>
      </c>
      <c r="L33" s="6">
        <f>$B$6+H33+K33</f>
        <v/>
      </c>
      <c r="M33" s="6">
        <f>COUNTIFS(MFD!$E:$E,B33,MFD!$I:$I,1)</f>
        <v/>
      </c>
      <c r="N33" s="6">
        <f>COUNTIFS(MFD!$E:$E,B33,MFD!$I:$I,2)</f>
        <v/>
      </c>
      <c r="O33" s="6">
        <f>IF((M33+N33)=0,0,ROUND(L33*M33/(M33+N33),0))</f>
        <v/>
      </c>
      <c r="P33" s="6">
        <f>L33-O33</f>
        <v/>
      </c>
      <c r="Q33" s="6">
        <f>L33*Parameter!$B$4</f>
        <v/>
      </c>
    </row>
    <row r="34">
      <c r="A34" s="6">
        <f>ROW()-10</f>
        <v/>
      </c>
      <c r="B34" s="16">
        <f>Referensi!B26</f>
        <v/>
      </c>
      <c r="C34" s="9">
        <f>Referensi!C26</f>
        <v/>
      </c>
      <c r="D34" s="9">
        <f>Referensi!D26</f>
        <v/>
      </c>
      <c r="E34" s="9">
        <f>IF(UPPER(Parameter!$B$6)="DPT",C34,D34)</f>
        <v/>
      </c>
      <c r="F34" s="17">
        <f>E34/SUM(E$11:E$48)</f>
        <v/>
      </c>
      <c r="G34" s="18">
        <f>$B$7*F34</f>
        <v/>
      </c>
      <c r="H34" s="6">
        <f>INT(G34)</f>
        <v/>
      </c>
      <c r="I34" s="17">
        <f>G34-H34</f>
        <v/>
      </c>
      <c r="J34" s="6">
        <f>RANK(I34,$I$11:$I$48)+COUNTIF($I$11:I34,I34)-1</f>
        <v/>
      </c>
      <c r="K34" s="6">
        <f>IF(J34&lt;=$B$8,1,0)</f>
        <v/>
      </c>
      <c r="L34" s="6">
        <f>$B$6+H34+K34</f>
        <v/>
      </c>
      <c r="M34" s="6">
        <f>COUNTIFS(MFD!$E:$E,B34,MFD!$I:$I,1)</f>
        <v/>
      </c>
      <c r="N34" s="6">
        <f>COUNTIFS(MFD!$E:$E,B34,MFD!$I:$I,2)</f>
        <v/>
      </c>
      <c r="O34" s="6">
        <f>IF((M34+N34)=0,0,ROUND(L34*M34/(M34+N34),0))</f>
        <v/>
      </c>
      <c r="P34" s="6">
        <f>L34-O34</f>
        <v/>
      </c>
      <c r="Q34" s="6">
        <f>L34*Parameter!$B$4</f>
        <v/>
      </c>
    </row>
    <row r="35">
      <c r="A35" s="6">
        <f>ROW()-10</f>
        <v/>
      </c>
      <c r="B35" s="16">
        <f>Referensi!B27</f>
        <v/>
      </c>
      <c r="C35" s="9">
        <f>Referensi!C27</f>
        <v/>
      </c>
      <c r="D35" s="9">
        <f>Referensi!D27</f>
        <v/>
      </c>
      <c r="E35" s="9">
        <f>IF(UPPER(Parameter!$B$6)="DPT",C35,D35)</f>
        <v/>
      </c>
      <c r="F35" s="17">
        <f>E35/SUM(E$11:E$48)</f>
        <v/>
      </c>
      <c r="G35" s="18">
        <f>$B$7*F35</f>
        <v/>
      </c>
      <c r="H35" s="6">
        <f>INT(G35)</f>
        <v/>
      </c>
      <c r="I35" s="17">
        <f>G35-H35</f>
        <v/>
      </c>
      <c r="J35" s="6">
        <f>RANK(I35,$I$11:$I$48)+COUNTIF($I$11:I35,I35)-1</f>
        <v/>
      </c>
      <c r="K35" s="6">
        <f>IF(J35&lt;=$B$8,1,0)</f>
        <v/>
      </c>
      <c r="L35" s="6">
        <f>$B$6+H35+K35</f>
        <v/>
      </c>
      <c r="M35" s="6">
        <f>COUNTIFS(MFD!$E:$E,B35,MFD!$I:$I,1)</f>
        <v/>
      </c>
      <c r="N35" s="6">
        <f>COUNTIFS(MFD!$E:$E,B35,MFD!$I:$I,2)</f>
        <v/>
      </c>
      <c r="O35" s="6">
        <f>IF((M35+N35)=0,0,ROUND(L35*M35/(M35+N35),0))</f>
        <v/>
      </c>
      <c r="P35" s="6">
        <f>L35-O35</f>
        <v/>
      </c>
      <c r="Q35" s="6">
        <f>L35*Parameter!$B$4</f>
        <v/>
      </c>
    </row>
    <row r="36">
      <c r="A36" s="6">
        <f>ROW()-10</f>
        <v/>
      </c>
      <c r="B36" s="16">
        <f>Referensi!B28</f>
        <v/>
      </c>
      <c r="C36" s="9">
        <f>Referensi!C28</f>
        <v/>
      </c>
      <c r="D36" s="9">
        <f>Referensi!D28</f>
        <v/>
      </c>
      <c r="E36" s="9">
        <f>IF(UPPER(Parameter!$B$6)="DPT",C36,D36)</f>
        <v/>
      </c>
      <c r="F36" s="17">
        <f>E36/SUM(E$11:E$48)</f>
        <v/>
      </c>
      <c r="G36" s="18">
        <f>$B$7*F36</f>
        <v/>
      </c>
      <c r="H36" s="6">
        <f>INT(G36)</f>
        <v/>
      </c>
      <c r="I36" s="17">
        <f>G36-H36</f>
        <v/>
      </c>
      <c r="J36" s="6">
        <f>RANK(I36,$I$11:$I$48)+COUNTIF($I$11:I36,I36)-1</f>
        <v/>
      </c>
      <c r="K36" s="6">
        <f>IF(J36&lt;=$B$8,1,0)</f>
        <v/>
      </c>
      <c r="L36" s="6">
        <f>$B$6+H36+K36</f>
        <v/>
      </c>
      <c r="M36" s="6">
        <f>COUNTIFS(MFD!$E:$E,B36,MFD!$I:$I,1)</f>
        <v/>
      </c>
      <c r="N36" s="6">
        <f>COUNTIFS(MFD!$E:$E,B36,MFD!$I:$I,2)</f>
        <v/>
      </c>
      <c r="O36" s="6">
        <f>IF((M36+N36)=0,0,ROUND(L36*M36/(M36+N36),0))</f>
        <v/>
      </c>
      <c r="P36" s="6">
        <f>L36-O36</f>
        <v/>
      </c>
      <c r="Q36" s="6">
        <f>L36*Parameter!$B$4</f>
        <v/>
      </c>
    </row>
    <row r="37">
      <c r="A37" s="6">
        <f>ROW()-10</f>
        <v/>
      </c>
      <c r="B37" s="16">
        <f>Referensi!B29</f>
        <v/>
      </c>
      <c r="C37" s="9">
        <f>Referensi!C29</f>
        <v/>
      </c>
      <c r="D37" s="9">
        <f>Referensi!D29</f>
        <v/>
      </c>
      <c r="E37" s="9">
        <f>IF(UPPER(Parameter!$B$6)="DPT",C37,D37)</f>
        <v/>
      </c>
      <c r="F37" s="17">
        <f>E37/SUM(E$11:E$48)</f>
        <v/>
      </c>
      <c r="G37" s="18">
        <f>$B$7*F37</f>
        <v/>
      </c>
      <c r="H37" s="6">
        <f>INT(G37)</f>
        <v/>
      </c>
      <c r="I37" s="17">
        <f>G37-H37</f>
        <v/>
      </c>
      <c r="J37" s="6">
        <f>RANK(I37,$I$11:$I$48)+COUNTIF($I$11:I37,I37)-1</f>
        <v/>
      </c>
      <c r="K37" s="6">
        <f>IF(J37&lt;=$B$8,1,0)</f>
        <v/>
      </c>
      <c r="L37" s="6">
        <f>$B$6+H37+K37</f>
        <v/>
      </c>
      <c r="M37" s="6">
        <f>COUNTIFS(MFD!$E:$E,B37,MFD!$I:$I,1)</f>
        <v/>
      </c>
      <c r="N37" s="6">
        <f>COUNTIFS(MFD!$E:$E,B37,MFD!$I:$I,2)</f>
        <v/>
      </c>
      <c r="O37" s="6">
        <f>IF((M37+N37)=0,0,ROUND(L37*M37/(M37+N37),0))</f>
        <v/>
      </c>
      <c r="P37" s="6">
        <f>L37-O37</f>
        <v/>
      </c>
      <c r="Q37" s="6">
        <f>L37*Parameter!$B$4</f>
        <v/>
      </c>
    </row>
    <row r="38">
      <c r="A38" s="6">
        <f>ROW()-10</f>
        <v/>
      </c>
      <c r="B38" s="16">
        <f>Referensi!B30</f>
        <v/>
      </c>
      <c r="C38" s="9">
        <f>Referensi!C30</f>
        <v/>
      </c>
      <c r="D38" s="9">
        <f>Referensi!D30</f>
        <v/>
      </c>
      <c r="E38" s="9">
        <f>IF(UPPER(Parameter!$B$6)="DPT",C38,D38)</f>
        <v/>
      </c>
      <c r="F38" s="17">
        <f>E38/SUM(E$11:E$48)</f>
        <v/>
      </c>
      <c r="G38" s="18">
        <f>$B$7*F38</f>
        <v/>
      </c>
      <c r="H38" s="6">
        <f>INT(G38)</f>
        <v/>
      </c>
      <c r="I38" s="17">
        <f>G38-H38</f>
        <v/>
      </c>
      <c r="J38" s="6">
        <f>RANK(I38,$I$11:$I$48)+COUNTIF($I$11:I38,I38)-1</f>
        <v/>
      </c>
      <c r="K38" s="6">
        <f>IF(J38&lt;=$B$8,1,0)</f>
        <v/>
      </c>
      <c r="L38" s="6">
        <f>$B$6+H38+K38</f>
        <v/>
      </c>
      <c r="M38" s="6">
        <f>COUNTIFS(MFD!$E:$E,B38,MFD!$I:$I,1)</f>
        <v/>
      </c>
      <c r="N38" s="6">
        <f>COUNTIFS(MFD!$E:$E,B38,MFD!$I:$I,2)</f>
        <v/>
      </c>
      <c r="O38" s="6">
        <f>IF((M38+N38)=0,0,ROUND(L38*M38/(M38+N38),0))</f>
        <v/>
      </c>
      <c r="P38" s="6">
        <f>L38-O38</f>
        <v/>
      </c>
      <c r="Q38" s="6">
        <f>L38*Parameter!$B$4</f>
        <v/>
      </c>
    </row>
    <row r="39">
      <c r="A39" s="6">
        <f>ROW()-10</f>
        <v/>
      </c>
      <c r="B39" s="16">
        <f>Referensi!B31</f>
        <v/>
      </c>
      <c r="C39" s="9">
        <f>Referensi!C31</f>
        <v/>
      </c>
      <c r="D39" s="9">
        <f>Referensi!D31</f>
        <v/>
      </c>
      <c r="E39" s="9">
        <f>IF(UPPER(Parameter!$B$6)="DPT",C39,D39)</f>
        <v/>
      </c>
      <c r="F39" s="17">
        <f>E39/SUM(E$11:E$48)</f>
        <v/>
      </c>
      <c r="G39" s="18">
        <f>$B$7*F39</f>
        <v/>
      </c>
      <c r="H39" s="6">
        <f>INT(G39)</f>
        <v/>
      </c>
      <c r="I39" s="17">
        <f>G39-H39</f>
        <v/>
      </c>
      <c r="J39" s="6">
        <f>RANK(I39,$I$11:$I$48)+COUNTIF($I$11:I39,I39)-1</f>
        <v/>
      </c>
      <c r="K39" s="6">
        <f>IF(J39&lt;=$B$8,1,0)</f>
        <v/>
      </c>
      <c r="L39" s="6">
        <f>$B$6+H39+K39</f>
        <v/>
      </c>
      <c r="M39" s="6">
        <f>COUNTIFS(MFD!$E:$E,B39,MFD!$I:$I,1)</f>
        <v/>
      </c>
      <c r="N39" s="6">
        <f>COUNTIFS(MFD!$E:$E,B39,MFD!$I:$I,2)</f>
        <v/>
      </c>
      <c r="O39" s="6">
        <f>IF((M39+N39)=0,0,ROUND(L39*M39/(M39+N39),0))</f>
        <v/>
      </c>
      <c r="P39" s="6">
        <f>L39-O39</f>
        <v/>
      </c>
      <c r="Q39" s="6">
        <f>L39*Parameter!$B$4</f>
        <v/>
      </c>
    </row>
    <row r="40">
      <c r="A40" s="6">
        <f>ROW()-10</f>
        <v/>
      </c>
      <c r="B40" s="16">
        <f>Referensi!B32</f>
        <v/>
      </c>
      <c r="C40" s="9">
        <f>Referensi!C32</f>
        <v/>
      </c>
      <c r="D40" s="9">
        <f>Referensi!D32</f>
        <v/>
      </c>
      <c r="E40" s="9">
        <f>IF(UPPER(Parameter!$B$6)="DPT",C40,D40)</f>
        <v/>
      </c>
      <c r="F40" s="17">
        <f>E40/SUM(E$11:E$48)</f>
        <v/>
      </c>
      <c r="G40" s="18">
        <f>$B$7*F40</f>
        <v/>
      </c>
      <c r="H40" s="6">
        <f>INT(G40)</f>
        <v/>
      </c>
      <c r="I40" s="17">
        <f>G40-H40</f>
        <v/>
      </c>
      <c r="J40" s="6">
        <f>RANK(I40,$I$11:$I$48)+COUNTIF($I$11:I40,I40)-1</f>
        <v/>
      </c>
      <c r="K40" s="6">
        <f>IF(J40&lt;=$B$8,1,0)</f>
        <v/>
      </c>
      <c r="L40" s="6">
        <f>$B$6+H40+K40</f>
        <v/>
      </c>
      <c r="M40" s="6">
        <f>COUNTIFS(MFD!$E:$E,B40,MFD!$I:$I,1)</f>
        <v/>
      </c>
      <c r="N40" s="6">
        <f>COUNTIFS(MFD!$E:$E,B40,MFD!$I:$I,2)</f>
        <v/>
      </c>
      <c r="O40" s="6">
        <f>IF((M40+N40)=0,0,ROUND(L40*M40/(M40+N40),0))</f>
        <v/>
      </c>
      <c r="P40" s="6">
        <f>L40-O40</f>
        <v/>
      </c>
      <c r="Q40" s="6">
        <f>L40*Parameter!$B$4</f>
        <v/>
      </c>
    </row>
    <row r="41">
      <c r="A41" s="6">
        <f>ROW()-10</f>
        <v/>
      </c>
      <c r="B41" s="16">
        <f>Referensi!B33</f>
        <v/>
      </c>
      <c r="C41" s="9">
        <f>Referensi!C33</f>
        <v/>
      </c>
      <c r="D41" s="9">
        <f>Referensi!D33</f>
        <v/>
      </c>
      <c r="E41" s="9">
        <f>IF(UPPER(Parameter!$B$6)="DPT",C41,D41)</f>
        <v/>
      </c>
      <c r="F41" s="17">
        <f>E41/SUM(E$11:E$48)</f>
        <v/>
      </c>
      <c r="G41" s="18">
        <f>$B$7*F41</f>
        <v/>
      </c>
      <c r="H41" s="6">
        <f>INT(G41)</f>
        <v/>
      </c>
      <c r="I41" s="17">
        <f>G41-H41</f>
        <v/>
      </c>
      <c r="J41" s="6">
        <f>RANK(I41,$I$11:$I$48)+COUNTIF($I$11:I41,I41)-1</f>
        <v/>
      </c>
      <c r="K41" s="6">
        <f>IF(J41&lt;=$B$8,1,0)</f>
        <v/>
      </c>
      <c r="L41" s="6">
        <f>$B$6+H41+K41</f>
        <v/>
      </c>
      <c r="M41" s="6">
        <f>COUNTIFS(MFD!$E:$E,B41,MFD!$I:$I,1)</f>
        <v/>
      </c>
      <c r="N41" s="6">
        <f>COUNTIFS(MFD!$E:$E,B41,MFD!$I:$I,2)</f>
        <v/>
      </c>
      <c r="O41" s="6">
        <f>IF((M41+N41)=0,0,ROUND(L41*M41/(M41+N41),0))</f>
        <v/>
      </c>
      <c r="P41" s="6">
        <f>L41-O41</f>
        <v/>
      </c>
      <c r="Q41" s="6">
        <f>L41*Parameter!$B$4</f>
        <v/>
      </c>
    </row>
    <row r="42">
      <c r="A42" s="6">
        <f>ROW()-10</f>
        <v/>
      </c>
      <c r="B42" s="16">
        <f>Referensi!B34</f>
        <v/>
      </c>
      <c r="C42" s="9">
        <f>Referensi!C34</f>
        <v/>
      </c>
      <c r="D42" s="9">
        <f>Referensi!D34</f>
        <v/>
      </c>
      <c r="E42" s="9">
        <f>IF(UPPER(Parameter!$B$6)="DPT",C42,D42)</f>
        <v/>
      </c>
      <c r="F42" s="17">
        <f>E42/SUM(E$11:E$48)</f>
        <v/>
      </c>
      <c r="G42" s="18">
        <f>$B$7*F42</f>
        <v/>
      </c>
      <c r="H42" s="6">
        <f>INT(G42)</f>
        <v/>
      </c>
      <c r="I42" s="17">
        <f>G42-H42</f>
        <v/>
      </c>
      <c r="J42" s="6">
        <f>RANK(I42,$I$11:$I$48)+COUNTIF($I$11:I42,I42)-1</f>
        <v/>
      </c>
      <c r="K42" s="6">
        <f>IF(J42&lt;=$B$8,1,0)</f>
        <v/>
      </c>
      <c r="L42" s="6">
        <f>$B$6+H42+K42</f>
        <v/>
      </c>
      <c r="M42" s="6">
        <f>COUNTIFS(MFD!$E:$E,B42,MFD!$I:$I,1)</f>
        <v/>
      </c>
      <c r="N42" s="6">
        <f>COUNTIFS(MFD!$E:$E,B42,MFD!$I:$I,2)</f>
        <v/>
      </c>
      <c r="O42" s="6">
        <f>IF((M42+N42)=0,0,ROUND(L42*M42/(M42+N42),0))</f>
        <v/>
      </c>
      <c r="P42" s="6">
        <f>L42-O42</f>
        <v/>
      </c>
      <c r="Q42" s="6">
        <f>L42*Parameter!$B$4</f>
        <v/>
      </c>
    </row>
    <row r="43">
      <c r="A43" s="6">
        <f>ROW()-10</f>
        <v/>
      </c>
      <c r="B43" s="16">
        <f>Referensi!B35</f>
        <v/>
      </c>
      <c r="C43" s="9">
        <f>Referensi!C35</f>
        <v/>
      </c>
      <c r="D43" s="9">
        <f>Referensi!D35</f>
        <v/>
      </c>
      <c r="E43" s="9">
        <f>IF(UPPER(Parameter!$B$6)="DPT",C43,D43)</f>
        <v/>
      </c>
      <c r="F43" s="17">
        <f>E43/SUM(E$11:E$48)</f>
        <v/>
      </c>
      <c r="G43" s="18">
        <f>$B$7*F43</f>
        <v/>
      </c>
      <c r="H43" s="6">
        <f>INT(G43)</f>
        <v/>
      </c>
      <c r="I43" s="17">
        <f>G43-H43</f>
        <v/>
      </c>
      <c r="J43" s="6">
        <f>RANK(I43,$I$11:$I$48)+COUNTIF($I$11:I43,I43)-1</f>
        <v/>
      </c>
      <c r="K43" s="6">
        <f>IF(J43&lt;=$B$8,1,0)</f>
        <v/>
      </c>
      <c r="L43" s="6">
        <f>$B$6+H43+K43</f>
        <v/>
      </c>
      <c r="M43" s="6">
        <f>COUNTIFS(MFD!$E:$E,B43,MFD!$I:$I,1)</f>
        <v/>
      </c>
      <c r="N43" s="6">
        <f>COUNTIFS(MFD!$E:$E,B43,MFD!$I:$I,2)</f>
        <v/>
      </c>
      <c r="O43" s="6">
        <f>IF((M43+N43)=0,0,ROUND(L43*M43/(M43+N43),0))</f>
        <v/>
      </c>
      <c r="P43" s="6">
        <f>L43-O43</f>
        <v/>
      </c>
      <c r="Q43" s="6">
        <f>L43*Parameter!$B$4</f>
        <v/>
      </c>
    </row>
    <row r="44">
      <c r="A44" s="6">
        <f>ROW()-10</f>
        <v/>
      </c>
      <c r="B44" s="16">
        <f>Referensi!B36</f>
        <v/>
      </c>
      <c r="C44" s="9">
        <f>Referensi!C36</f>
        <v/>
      </c>
      <c r="D44" s="9">
        <f>Referensi!D36</f>
        <v/>
      </c>
      <c r="E44" s="9">
        <f>IF(UPPER(Parameter!$B$6)="DPT",C44,D44)</f>
        <v/>
      </c>
      <c r="F44" s="17">
        <f>E44/SUM(E$11:E$48)</f>
        <v/>
      </c>
      <c r="G44" s="18">
        <f>$B$7*F44</f>
        <v/>
      </c>
      <c r="H44" s="6">
        <f>INT(G44)</f>
        <v/>
      </c>
      <c r="I44" s="17">
        <f>G44-H44</f>
        <v/>
      </c>
      <c r="J44" s="6">
        <f>RANK(I44,$I$11:$I$48)+COUNTIF($I$11:I44,I44)-1</f>
        <v/>
      </c>
      <c r="K44" s="6">
        <f>IF(J44&lt;=$B$8,1,0)</f>
        <v/>
      </c>
      <c r="L44" s="6">
        <f>$B$6+H44+K44</f>
        <v/>
      </c>
      <c r="M44" s="6">
        <f>COUNTIFS(MFD!$E:$E,B44,MFD!$I:$I,1)</f>
        <v/>
      </c>
      <c r="N44" s="6">
        <f>COUNTIFS(MFD!$E:$E,B44,MFD!$I:$I,2)</f>
        <v/>
      </c>
      <c r="O44" s="6">
        <f>IF((M44+N44)=0,0,ROUND(L44*M44/(M44+N44),0))</f>
        <v/>
      </c>
      <c r="P44" s="6">
        <f>L44-O44</f>
        <v/>
      </c>
      <c r="Q44" s="6">
        <f>L44*Parameter!$B$4</f>
        <v/>
      </c>
    </row>
    <row r="45">
      <c r="A45" s="6">
        <f>ROW()-10</f>
        <v/>
      </c>
      <c r="B45" s="16">
        <f>Referensi!B37</f>
        <v/>
      </c>
      <c r="C45" s="9">
        <f>Referensi!C37</f>
        <v/>
      </c>
      <c r="D45" s="9">
        <f>Referensi!D37</f>
        <v/>
      </c>
      <c r="E45" s="9">
        <f>IF(UPPER(Parameter!$B$6)="DPT",C45,D45)</f>
        <v/>
      </c>
      <c r="F45" s="17">
        <f>E45/SUM(E$11:E$48)</f>
        <v/>
      </c>
      <c r="G45" s="18">
        <f>$B$7*F45</f>
        <v/>
      </c>
      <c r="H45" s="6">
        <f>INT(G45)</f>
        <v/>
      </c>
      <c r="I45" s="17">
        <f>G45-H45</f>
        <v/>
      </c>
      <c r="J45" s="6">
        <f>RANK(I45,$I$11:$I$48)+COUNTIF($I$11:I45,I45)-1</f>
        <v/>
      </c>
      <c r="K45" s="6">
        <f>IF(J45&lt;=$B$8,1,0)</f>
        <v/>
      </c>
      <c r="L45" s="6">
        <f>$B$6+H45+K45</f>
        <v/>
      </c>
      <c r="M45" s="6">
        <f>COUNTIFS(MFD!$E:$E,B45,MFD!$I:$I,1)</f>
        <v/>
      </c>
      <c r="N45" s="6">
        <f>COUNTIFS(MFD!$E:$E,B45,MFD!$I:$I,2)</f>
        <v/>
      </c>
      <c r="O45" s="6">
        <f>IF((M45+N45)=0,0,ROUND(L45*M45/(M45+N45),0))</f>
        <v/>
      </c>
      <c r="P45" s="6">
        <f>L45-O45</f>
        <v/>
      </c>
      <c r="Q45" s="6">
        <f>L45*Parameter!$B$4</f>
        <v/>
      </c>
    </row>
    <row r="46">
      <c r="A46" s="6">
        <f>ROW()-10</f>
        <v/>
      </c>
      <c r="B46" s="16">
        <f>Referensi!B38</f>
        <v/>
      </c>
      <c r="C46" s="9">
        <f>Referensi!C38</f>
        <v/>
      </c>
      <c r="D46" s="9">
        <f>Referensi!D38</f>
        <v/>
      </c>
      <c r="E46" s="9">
        <f>IF(UPPER(Parameter!$B$6)="DPT",C46,D46)</f>
        <v/>
      </c>
      <c r="F46" s="17">
        <f>E46/SUM(E$11:E$48)</f>
        <v/>
      </c>
      <c r="G46" s="18">
        <f>$B$7*F46</f>
        <v/>
      </c>
      <c r="H46" s="6">
        <f>INT(G46)</f>
        <v/>
      </c>
      <c r="I46" s="17">
        <f>G46-H46</f>
        <v/>
      </c>
      <c r="J46" s="6">
        <f>RANK(I46,$I$11:$I$48)+COUNTIF($I$11:I46,I46)-1</f>
        <v/>
      </c>
      <c r="K46" s="6">
        <f>IF(J46&lt;=$B$8,1,0)</f>
        <v/>
      </c>
      <c r="L46" s="6">
        <f>$B$6+H46+K46</f>
        <v/>
      </c>
      <c r="M46" s="6">
        <f>COUNTIFS(MFD!$E:$E,B46,MFD!$I:$I,1)</f>
        <v/>
      </c>
      <c r="N46" s="6">
        <f>COUNTIFS(MFD!$E:$E,B46,MFD!$I:$I,2)</f>
        <v/>
      </c>
      <c r="O46" s="6">
        <f>IF((M46+N46)=0,0,ROUND(L46*M46/(M46+N46),0))</f>
        <v/>
      </c>
      <c r="P46" s="6">
        <f>L46-O46</f>
        <v/>
      </c>
      <c r="Q46" s="6">
        <f>L46*Parameter!$B$4</f>
        <v/>
      </c>
    </row>
    <row r="47">
      <c r="A47" s="6">
        <f>ROW()-10</f>
        <v/>
      </c>
      <c r="B47" s="16">
        <f>Referensi!B39</f>
        <v/>
      </c>
      <c r="C47" s="9">
        <f>Referensi!C39</f>
        <v/>
      </c>
      <c r="D47" s="9">
        <f>Referensi!D39</f>
        <v/>
      </c>
      <c r="E47" s="9">
        <f>IF(UPPER(Parameter!$B$6)="DPT",C47,D47)</f>
        <v/>
      </c>
      <c r="F47" s="17">
        <f>E47/SUM(E$11:E$48)</f>
        <v/>
      </c>
      <c r="G47" s="18">
        <f>$B$7*F47</f>
        <v/>
      </c>
      <c r="H47" s="6">
        <f>INT(G47)</f>
        <v/>
      </c>
      <c r="I47" s="17">
        <f>G47-H47</f>
        <v/>
      </c>
      <c r="J47" s="6">
        <f>RANK(I47,$I$11:$I$48)+COUNTIF($I$11:I47,I47)-1</f>
        <v/>
      </c>
      <c r="K47" s="6">
        <f>IF(J47&lt;=$B$8,1,0)</f>
        <v/>
      </c>
      <c r="L47" s="6">
        <f>$B$6+H47+K47</f>
        <v/>
      </c>
      <c r="M47" s="6">
        <f>COUNTIFS(MFD!$E:$E,B47,MFD!$I:$I,1)</f>
        <v/>
      </c>
      <c r="N47" s="6">
        <f>COUNTIFS(MFD!$E:$E,B47,MFD!$I:$I,2)</f>
        <v/>
      </c>
      <c r="O47" s="6">
        <f>IF((M47+N47)=0,0,ROUND(L47*M47/(M47+N47),0))</f>
        <v/>
      </c>
      <c r="P47" s="6">
        <f>L47-O47</f>
        <v/>
      </c>
      <c r="Q47" s="6">
        <f>L47*Parameter!$B$4</f>
        <v/>
      </c>
    </row>
    <row r="48">
      <c r="A48" s="6">
        <f>ROW()-10</f>
        <v/>
      </c>
      <c r="B48" s="16">
        <f>Referensi!B40</f>
        <v/>
      </c>
      <c r="C48" s="9">
        <f>Referensi!C40</f>
        <v/>
      </c>
      <c r="D48" s="9">
        <f>Referensi!D40</f>
        <v/>
      </c>
      <c r="E48" s="9">
        <f>IF(UPPER(Parameter!$B$6)="DPT",C48,D48)</f>
        <v/>
      </c>
      <c r="F48" s="17">
        <f>E48/SUM(E$11:E$48)</f>
        <v/>
      </c>
      <c r="G48" s="18">
        <f>$B$7*F48</f>
        <v/>
      </c>
      <c r="H48" s="6">
        <f>INT(G48)</f>
        <v/>
      </c>
      <c r="I48" s="17">
        <f>G48-H48</f>
        <v/>
      </c>
      <c r="J48" s="6">
        <f>RANK(I48,$I$11:$I$48)+COUNTIF($I$11:I48,I48)-1</f>
        <v/>
      </c>
      <c r="K48" s="6">
        <f>IF(J48&lt;=$B$8,1,0)</f>
        <v/>
      </c>
      <c r="L48" s="6">
        <f>$B$6+H48+K48</f>
        <v/>
      </c>
      <c r="M48" s="6">
        <f>COUNTIFS(MFD!$E:$E,B48,MFD!$I:$I,1)</f>
        <v/>
      </c>
      <c r="N48" s="6">
        <f>COUNTIFS(MFD!$E:$E,B48,MFD!$I:$I,2)</f>
        <v/>
      </c>
      <c r="O48" s="6">
        <f>IF((M48+N48)=0,0,ROUND(L48*M48/(M48+N48),0))</f>
        <v/>
      </c>
      <c r="P48" s="6">
        <f>L48-O48</f>
        <v/>
      </c>
      <c r="Q48" s="6">
        <f>L48*Parameter!$B$4</f>
        <v/>
      </c>
    </row>
    <row r="49">
      <c r="A49" s="19" t="n"/>
      <c r="B49" s="20" t="inlineStr">
        <is>
          <t>TOTAL</t>
        </is>
      </c>
      <c r="C49" s="21">
        <f>SUM(C11:C48)</f>
        <v/>
      </c>
      <c r="D49" s="21">
        <f>SUM(D11:D48)</f>
        <v/>
      </c>
      <c r="E49" s="20">
        <f>SUM(E11:E48)</f>
        <v/>
      </c>
      <c r="F49" s="22">
        <f>SUM(F11:F48)</f>
        <v/>
      </c>
      <c r="G49" s="19" t="n"/>
      <c r="H49" s="19" t="n"/>
      <c r="I49" s="19" t="n"/>
      <c r="J49" s="19" t="n"/>
      <c r="K49" s="19" t="n"/>
      <c r="L49" s="20">
        <f>SUM(L11:L48)</f>
        <v/>
      </c>
      <c r="M49" s="20">
        <f>SUM(M11:M48)</f>
        <v/>
      </c>
      <c r="N49" s="20">
        <f>SUM(N11:N48)</f>
        <v/>
      </c>
      <c r="O49" s="20">
        <f>SUM(O11:O48)</f>
        <v/>
      </c>
      <c r="P49" s="20">
        <f>SUM(P11:P48)</f>
        <v/>
      </c>
      <c r="Q49" s="21">
        <f>SUM(Q11:Q48)</f>
        <v/>
      </c>
    </row>
    <row r="51">
      <c r="B51" s="10" t="inlineStr">
        <is>
          <t>Cek: kolom 'Titik' TOTAL harus = n_titik. 'Responden' TOTAL = n_titik×cluster (≥ n_total; engine memangkas titik terakhir agar pas).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8" customWidth="1" min="9" max="9"/>
    <col width="9" customWidth="1" min="10" max="10"/>
    <col width="7" customWidth="1" min="11" max="11"/>
    <col width="5" customWidth="1" min="12" max="12"/>
    <col width="8" customWidth="1" min="13" max="13"/>
    <col width="9" customWidth="1" min="14" max="14"/>
    <col width="12" customWidth="1" min="15" max="15"/>
    <col width="10" customWidth="1" min="16" max="16"/>
  </cols>
  <sheetData>
    <row r="1">
      <c r="A1" s="1" t="inlineStr">
        <is>
          <t>Alokasi Akar-Kuadrat (√N) + Bobot Desain</t>
        </is>
      </c>
    </row>
    <row r="3">
      <c r="A3" s="13" t="inlineStr">
        <is>
          <t>Jumlah titik (n_titik)</t>
        </is>
      </c>
      <c r="B3" s="14">
        <f>Parameter!B8</f>
        <v/>
      </c>
    </row>
    <row r="4">
      <c r="A4" s="13" t="inlineStr">
        <is>
          <t>Minimum per provinsi</t>
        </is>
      </c>
      <c r="B4" s="14">
        <f>Parameter!B5</f>
        <v/>
      </c>
    </row>
    <row r="5">
      <c r="A5" s="13" t="inlineStr">
        <is>
          <t>Sisa dibagi proporsional</t>
        </is>
      </c>
      <c r="B5" s="14">
        <f>Parameter!B9</f>
        <v/>
      </c>
    </row>
    <row r="6">
      <c r="A6" s="13" t="inlineStr">
        <is>
          <t>Sisa +1 (kurang) = Sisa - SUM(lantai)</t>
        </is>
      </c>
      <c r="B6" s="15">
        <f>B5-SUM(I11:I48)</f>
        <v/>
      </c>
    </row>
    <row r="10">
      <c r="A10" s="7" t="inlineStr">
        <is>
          <t>No</t>
        </is>
      </c>
      <c r="B10" s="7" t="inlineStr">
        <is>
          <t>Provinsi</t>
        </is>
      </c>
      <c r="C10" s="7" t="inlineStr">
        <is>
          <t>DPT</t>
        </is>
      </c>
      <c r="D10" s="7" t="inlineStr">
        <is>
          <t>Penduduk</t>
        </is>
      </c>
      <c r="E10" s="7" t="inlineStr">
        <is>
          <t>Ukuran</t>
        </is>
      </c>
      <c r="F10" s="7" t="inlineStr">
        <is>
          <t>√Ukuran</t>
        </is>
      </c>
      <c r="G10" s="7" t="inlineStr">
        <is>
          <t>Share</t>
        </is>
      </c>
      <c r="H10" s="7" t="inlineStr">
        <is>
          <t>Kuota</t>
        </is>
      </c>
      <c r="I10" s="7" t="inlineStr">
        <is>
          <t>Lantai</t>
        </is>
      </c>
      <c r="J10" s="7" t="inlineStr">
        <is>
          <t>Pecahan</t>
        </is>
      </c>
      <c r="K10" s="7" t="inlineStr">
        <is>
          <t>Rank</t>
        </is>
      </c>
      <c r="L10" s="7" t="inlineStr">
        <is>
          <t>+1</t>
        </is>
      </c>
      <c r="M10" s="7" t="inlineStr">
        <is>
          <t>Titik</t>
        </is>
      </c>
      <c r="N10" s="7" t="inlineStr">
        <is>
          <t>SharePop</t>
        </is>
      </c>
      <c r="O10" s="7" t="inlineStr">
        <is>
          <t>Bobot Desain</t>
        </is>
      </c>
      <c r="P10" s="7" t="inlineStr">
        <is>
          <t>Responden</t>
        </is>
      </c>
    </row>
    <row r="11">
      <c r="A11" s="6">
        <f>ROW()-10</f>
        <v/>
      </c>
      <c r="B11" s="16">
        <f>Referensi!B3</f>
        <v/>
      </c>
      <c r="C11" s="9">
        <f>Referensi!C3</f>
        <v/>
      </c>
      <c r="D11" s="9">
        <f>Referensi!D3</f>
        <v/>
      </c>
      <c r="E11" s="9">
        <f>IF(UPPER(Parameter!$B$6)="DPT",C11,D11)</f>
        <v/>
      </c>
      <c r="F11" s="23">
        <f>SQRT(E11)</f>
        <v/>
      </c>
      <c r="G11" s="17">
        <f>F11/SUM(F$11:F$48)</f>
        <v/>
      </c>
      <c r="H11" s="18">
        <f>$B$5*G11</f>
        <v/>
      </c>
      <c r="I11" s="6">
        <f>INT(H11)</f>
        <v/>
      </c>
      <c r="J11" s="17">
        <f>H11-I11</f>
        <v/>
      </c>
      <c r="K11" s="6">
        <f>RANK(J11,$J$11:$J$48)+COUNTIF($J$11:J11,J11)-1</f>
        <v/>
      </c>
      <c r="L11" s="6">
        <f>IF(K11&lt;=$B$6,1,0)</f>
        <v/>
      </c>
      <c r="M11" s="6">
        <f>Parameter!$B$5+I11+L11</f>
        <v/>
      </c>
      <c r="N11" s="17">
        <f>E11/SUM(E$11:E$48)</f>
        <v/>
      </c>
      <c r="O11" s="24">
        <f>IF(M11=0,"",N11/(M11/SUM(M$11:M$48)))</f>
        <v/>
      </c>
      <c r="P11" s="6">
        <f>M11*Parameter!$B$4</f>
        <v/>
      </c>
    </row>
    <row r="12">
      <c r="A12" s="6">
        <f>ROW()-10</f>
        <v/>
      </c>
      <c r="B12" s="16">
        <f>Referensi!B4</f>
        <v/>
      </c>
      <c r="C12" s="9">
        <f>Referensi!C4</f>
        <v/>
      </c>
      <c r="D12" s="9">
        <f>Referensi!D4</f>
        <v/>
      </c>
      <c r="E12" s="9">
        <f>IF(UPPER(Parameter!$B$6)="DPT",C12,D12)</f>
        <v/>
      </c>
      <c r="F12" s="23">
        <f>SQRT(E12)</f>
        <v/>
      </c>
      <c r="G12" s="17">
        <f>F12/SUM(F$11:F$48)</f>
        <v/>
      </c>
      <c r="H12" s="18">
        <f>$B$5*G12</f>
        <v/>
      </c>
      <c r="I12" s="6">
        <f>INT(H12)</f>
        <v/>
      </c>
      <c r="J12" s="17">
        <f>H12-I12</f>
        <v/>
      </c>
      <c r="K12" s="6">
        <f>RANK(J12,$J$11:$J$48)+COUNTIF($J$11:J12,J12)-1</f>
        <v/>
      </c>
      <c r="L12" s="6">
        <f>IF(K12&lt;=$B$6,1,0)</f>
        <v/>
      </c>
      <c r="M12" s="6">
        <f>Parameter!$B$5+I12+L12</f>
        <v/>
      </c>
      <c r="N12" s="17">
        <f>E12/SUM(E$11:E$48)</f>
        <v/>
      </c>
      <c r="O12" s="24">
        <f>IF(M12=0,"",N12/(M12/SUM(M$11:M$48)))</f>
        <v/>
      </c>
      <c r="P12" s="6">
        <f>M12*Parameter!$B$4</f>
        <v/>
      </c>
    </row>
    <row r="13">
      <c r="A13" s="6">
        <f>ROW()-10</f>
        <v/>
      </c>
      <c r="B13" s="16">
        <f>Referensi!B5</f>
        <v/>
      </c>
      <c r="C13" s="9">
        <f>Referensi!C5</f>
        <v/>
      </c>
      <c r="D13" s="9">
        <f>Referensi!D5</f>
        <v/>
      </c>
      <c r="E13" s="9">
        <f>IF(UPPER(Parameter!$B$6)="DPT",C13,D13)</f>
        <v/>
      </c>
      <c r="F13" s="23">
        <f>SQRT(E13)</f>
        <v/>
      </c>
      <c r="G13" s="17">
        <f>F13/SUM(F$11:F$48)</f>
        <v/>
      </c>
      <c r="H13" s="18">
        <f>$B$5*G13</f>
        <v/>
      </c>
      <c r="I13" s="6">
        <f>INT(H13)</f>
        <v/>
      </c>
      <c r="J13" s="17">
        <f>H13-I13</f>
        <v/>
      </c>
      <c r="K13" s="6">
        <f>RANK(J13,$J$11:$J$48)+COUNTIF($J$11:J13,J13)-1</f>
        <v/>
      </c>
      <c r="L13" s="6">
        <f>IF(K13&lt;=$B$6,1,0)</f>
        <v/>
      </c>
      <c r="M13" s="6">
        <f>Parameter!$B$5+I13+L13</f>
        <v/>
      </c>
      <c r="N13" s="17">
        <f>E13/SUM(E$11:E$48)</f>
        <v/>
      </c>
      <c r="O13" s="24">
        <f>IF(M13=0,"",N13/(M13/SUM(M$11:M$48)))</f>
        <v/>
      </c>
      <c r="P13" s="6">
        <f>M13*Parameter!$B$4</f>
        <v/>
      </c>
    </row>
    <row r="14">
      <c r="A14" s="6">
        <f>ROW()-10</f>
        <v/>
      </c>
      <c r="B14" s="16">
        <f>Referensi!B6</f>
        <v/>
      </c>
      <c r="C14" s="9">
        <f>Referensi!C6</f>
        <v/>
      </c>
      <c r="D14" s="9">
        <f>Referensi!D6</f>
        <v/>
      </c>
      <c r="E14" s="9">
        <f>IF(UPPER(Parameter!$B$6)="DPT",C14,D14)</f>
        <v/>
      </c>
      <c r="F14" s="23">
        <f>SQRT(E14)</f>
        <v/>
      </c>
      <c r="G14" s="17">
        <f>F14/SUM(F$11:F$48)</f>
        <v/>
      </c>
      <c r="H14" s="18">
        <f>$B$5*G14</f>
        <v/>
      </c>
      <c r="I14" s="6">
        <f>INT(H14)</f>
        <v/>
      </c>
      <c r="J14" s="17">
        <f>H14-I14</f>
        <v/>
      </c>
      <c r="K14" s="6">
        <f>RANK(J14,$J$11:$J$48)+COUNTIF($J$11:J14,J14)-1</f>
        <v/>
      </c>
      <c r="L14" s="6">
        <f>IF(K14&lt;=$B$6,1,0)</f>
        <v/>
      </c>
      <c r="M14" s="6">
        <f>Parameter!$B$5+I14+L14</f>
        <v/>
      </c>
      <c r="N14" s="17">
        <f>E14/SUM(E$11:E$48)</f>
        <v/>
      </c>
      <c r="O14" s="24">
        <f>IF(M14=0,"",N14/(M14/SUM(M$11:M$48)))</f>
        <v/>
      </c>
      <c r="P14" s="6">
        <f>M14*Parameter!$B$4</f>
        <v/>
      </c>
    </row>
    <row r="15">
      <c r="A15" s="6">
        <f>ROW()-10</f>
        <v/>
      </c>
      <c r="B15" s="16">
        <f>Referensi!B7</f>
        <v/>
      </c>
      <c r="C15" s="9">
        <f>Referensi!C7</f>
        <v/>
      </c>
      <c r="D15" s="9">
        <f>Referensi!D7</f>
        <v/>
      </c>
      <c r="E15" s="9">
        <f>IF(UPPER(Parameter!$B$6)="DPT",C15,D15)</f>
        <v/>
      </c>
      <c r="F15" s="23">
        <f>SQRT(E15)</f>
        <v/>
      </c>
      <c r="G15" s="17">
        <f>F15/SUM(F$11:F$48)</f>
        <v/>
      </c>
      <c r="H15" s="18">
        <f>$B$5*G15</f>
        <v/>
      </c>
      <c r="I15" s="6">
        <f>INT(H15)</f>
        <v/>
      </c>
      <c r="J15" s="17">
        <f>H15-I15</f>
        <v/>
      </c>
      <c r="K15" s="6">
        <f>RANK(J15,$J$11:$J$48)+COUNTIF($J$11:J15,J15)-1</f>
        <v/>
      </c>
      <c r="L15" s="6">
        <f>IF(K15&lt;=$B$6,1,0)</f>
        <v/>
      </c>
      <c r="M15" s="6">
        <f>Parameter!$B$5+I15+L15</f>
        <v/>
      </c>
      <c r="N15" s="17">
        <f>E15/SUM(E$11:E$48)</f>
        <v/>
      </c>
      <c r="O15" s="24">
        <f>IF(M15=0,"",N15/(M15/SUM(M$11:M$48)))</f>
        <v/>
      </c>
      <c r="P15" s="6">
        <f>M15*Parameter!$B$4</f>
        <v/>
      </c>
    </row>
    <row r="16">
      <c r="A16" s="6">
        <f>ROW()-10</f>
        <v/>
      </c>
      <c r="B16" s="16">
        <f>Referensi!B8</f>
        <v/>
      </c>
      <c r="C16" s="9">
        <f>Referensi!C8</f>
        <v/>
      </c>
      <c r="D16" s="9">
        <f>Referensi!D8</f>
        <v/>
      </c>
      <c r="E16" s="9">
        <f>IF(UPPER(Parameter!$B$6)="DPT",C16,D16)</f>
        <v/>
      </c>
      <c r="F16" s="23">
        <f>SQRT(E16)</f>
        <v/>
      </c>
      <c r="G16" s="17">
        <f>F16/SUM(F$11:F$48)</f>
        <v/>
      </c>
      <c r="H16" s="18">
        <f>$B$5*G16</f>
        <v/>
      </c>
      <c r="I16" s="6">
        <f>INT(H16)</f>
        <v/>
      </c>
      <c r="J16" s="17">
        <f>H16-I16</f>
        <v/>
      </c>
      <c r="K16" s="6">
        <f>RANK(J16,$J$11:$J$48)+COUNTIF($J$11:J16,J16)-1</f>
        <v/>
      </c>
      <c r="L16" s="6">
        <f>IF(K16&lt;=$B$6,1,0)</f>
        <v/>
      </c>
      <c r="M16" s="6">
        <f>Parameter!$B$5+I16+L16</f>
        <v/>
      </c>
      <c r="N16" s="17">
        <f>E16/SUM(E$11:E$48)</f>
        <v/>
      </c>
      <c r="O16" s="24">
        <f>IF(M16=0,"",N16/(M16/SUM(M$11:M$48)))</f>
        <v/>
      </c>
      <c r="P16" s="6">
        <f>M16*Parameter!$B$4</f>
        <v/>
      </c>
    </row>
    <row r="17">
      <c r="A17" s="6">
        <f>ROW()-10</f>
        <v/>
      </c>
      <c r="B17" s="16">
        <f>Referensi!B9</f>
        <v/>
      </c>
      <c r="C17" s="9">
        <f>Referensi!C9</f>
        <v/>
      </c>
      <c r="D17" s="9">
        <f>Referensi!D9</f>
        <v/>
      </c>
      <c r="E17" s="9">
        <f>IF(UPPER(Parameter!$B$6)="DPT",C17,D17)</f>
        <v/>
      </c>
      <c r="F17" s="23">
        <f>SQRT(E17)</f>
        <v/>
      </c>
      <c r="G17" s="17">
        <f>F17/SUM(F$11:F$48)</f>
        <v/>
      </c>
      <c r="H17" s="18">
        <f>$B$5*G17</f>
        <v/>
      </c>
      <c r="I17" s="6">
        <f>INT(H17)</f>
        <v/>
      </c>
      <c r="J17" s="17">
        <f>H17-I17</f>
        <v/>
      </c>
      <c r="K17" s="6">
        <f>RANK(J17,$J$11:$J$48)+COUNTIF($J$11:J17,J17)-1</f>
        <v/>
      </c>
      <c r="L17" s="6">
        <f>IF(K17&lt;=$B$6,1,0)</f>
        <v/>
      </c>
      <c r="M17" s="6">
        <f>Parameter!$B$5+I17+L17</f>
        <v/>
      </c>
      <c r="N17" s="17">
        <f>E17/SUM(E$11:E$48)</f>
        <v/>
      </c>
      <c r="O17" s="24">
        <f>IF(M17=0,"",N17/(M17/SUM(M$11:M$48)))</f>
        <v/>
      </c>
      <c r="P17" s="6">
        <f>M17*Parameter!$B$4</f>
        <v/>
      </c>
    </row>
    <row r="18">
      <c r="A18" s="6">
        <f>ROW()-10</f>
        <v/>
      </c>
      <c r="B18" s="16">
        <f>Referensi!B10</f>
        <v/>
      </c>
      <c r="C18" s="9">
        <f>Referensi!C10</f>
        <v/>
      </c>
      <c r="D18" s="9">
        <f>Referensi!D10</f>
        <v/>
      </c>
      <c r="E18" s="9">
        <f>IF(UPPER(Parameter!$B$6)="DPT",C18,D18)</f>
        <v/>
      </c>
      <c r="F18" s="23">
        <f>SQRT(E18)</f>
        <v/>
      </c>
      <c r="G18" s="17">
        <f>F18/SUM(F$11:F$48)</f>
        <v/>
      </c>
      <c r="H18" s="18">
        <f>$B$5*G18</f>
        <v/>
      </c>
      <c r="I18" s="6">
        <f>INT(H18)</f>
        <v/>
      </c>
      <c r="J18" s="17">
        <f>H18-I18</f>
        <v/>
      </c>
      <c r="K18" s="6">
        <f>RANK(J18,$J$11:$J$48)+COUNTIF($J$11:J18,J18)-1</f>
        <v/>
      </c>
      <c r="L18" s="6">
        <f>IF(K18&lt;=$B$6,1,0)</f>
        <v/>
      </c>
      <c r="M18" s="6">
        <f>Parameter!$B$5+I18+L18</f>
        <v/>
      </c>
      <c r="N18" s="17">
        <f>E18/SUM(E$11:E$48)</f>
        <v/>
      </c>
      <c r="O18" s="24">
        <f>IF(M18=0,"",N18/(M18/SUM(M$11:M$48)))</f>
        <v/>
      </c>
      <c r="P18" s="6">
        <f>M18*Parameter!$B$4</f>
        <v/>
      </c>
    </row>
    <row r="19">
      <c r="A19" s="6">
        <f>ROW()-10</f>
        <v/>
      </c>
      <c r="B19" s="16">
        <f>Referensi!B11</f>
        <v/>
      </c>
      <c r="C19" s="9">
        <f>Referensi!C11</f>
        <v/>
      </c>
      <c r="D19" s="9">
        <f>Referensi!D11</f>
        <v/>
      </c>
      <c r="E19" s="9">
        <f>IF(UPPER(Parameter!$B$6)="DPT",C19,D19)</f>
        <v/>
      </c>
      <c r="F19" s="23">
        <f>SQRT(E19)</f>
        <v/>
      </c>
      <c r="G19" s="17">
        <f>F19/SUM(F$11:F$48)</f>
        <v/>
      </c>
      <c r="H19" s="18">
        <f>$B$5*G19</f>
        <v/>
      </c>
      <c r="I19" s="6">
        <f>INT(H19)</f>
        <v/>
      </c>
      <c r="J19" s="17">
        <f>H19-I19</f>
        <v/>
      </c>
      <c r="K19" s="6">
        <f>RANK(J19,$J$11:$J$48)+COUNTIF($J$11:J19,J19)-1</f>
        <v/>
      </c>
      <c r="L19" s="6">
        <f>IF(K19&lt;=$B$6,1,0)</f>
        <v/>
      </c>
      <c r="M19" s="6">
        <f>Parameter!$B$5+I19+L19</f>
        <v/>
      </c>
      <c r="N19" s="17">
        <f>E19/SUM(E$11:E$48)</f>
        <v/>
      </c>
      <c r="O19" s="24">
        <f>IF(M19=0,"",N19/(M19/SUM(M$11:M$48)))</f>
        <v/>
      </c>
      <c r="P19" s="6">
        <f>M19*Parameter!$B$4</f>
        <v/>
      </c>
    </row>
    <row r="20">
      <c r="A20" s="6">
        <f>ROW()-10</f>
        <v/>
      </c>
      <c r="B20" s="16">
        <f>Referensi!B12</f>
        <v/>
      </c>
      <c r="C20" s="9">
        <f>Referensi!C12</f>
        <v/>
      </c>
      <c r="D20" s="9">
        <f>Referensi!D12</f>
        <v/>
      </c>
      <c r="E20" s="9">
        <f>IF(UPPER(Parameter!$B$6)="DPT",C20,D20)</f>
        <v/>
      </c>
      <c r="F20" s="23">
        <f>SQRT(E20)</f>
        <v/>
      </c>
      <c r="G20" s="17">
        <f>F20/SUM(F$11:F$48)</f>
        <v/>
      </c>
      <c r="H20" s="18">
        <f>$B$5*G20</f>
        <v/>
      </c>
      <c r="I20" s="6">
        <f>INT(H20)</f>
        <v/>
      </c>
      <c r="J20" s="17">
        <f>H20-I20</f>
        <v/>
      </c>
      <c r="K20" s="6">
        <f>RANK(J20,$J$11:$J$48)+COUNTIF($J$11:J20,J20)-1</f>
        <v/>
      </c>
      <c r="L20" s="6">
        <f>IF(K20&lt;=$B$6,1,0)</f>
        <v/>
      </c>
      <c r="M20" s="6">
        <f>Parameter!$B$5+I20+L20</f>
        <v/>
      </c>
      <c r="N20" s="17">
        <f>E20/SUM(E$11:E$48)</f>
        <v/>
      </c>
      <c r="O20" s="24">
        <f>IF(M20=0,"",N20/(M20/SUM(M$11:M$48)))</f>
        <v/>
      </c>
      <c r="P20" s="6">
        <f>M20*Parameter!$B$4</f>
        <v/>
      </c>
    </row>
    <row r="21">
      <c r="A21" s="6">
        <f>ROW()-10</f>
        <v/>
      </c>
      <c r="B21" s="16">
        <f>Referensi!B13</f>
        <v/>
      </c>
      <c r="C21" s="9">
        <f>Referensi!C13</f>
        <v/>
      </c>
      <c r="D21" s="9">
        <f>Referensi!D13</f>
        <v/>
      </c>
      <c r="E21" s="9">
        <f>IF(UPPER(Parameter!$B$6)="DPT",C21,D21)</f>
        <v/>
      </c>
      <c r="F21" s="23">
        <f>SQRT(E21)</f>
        <v/>
      </c>
      <c r="G21" s="17">
        <f>F21/SUM(F$11:F$48)</f>
        <v/>
      </c>
      <c r="H21" s="18">
        <f>$B$5*G21</f>
        <v/>
      </c>
      <c r="I21" s="6">
        <f>INT(H21)</f>
        <v/>
      </c>
      <c r="J21" s="17">
        <f>H21-I21</f>
        <v/>
      </c>
      <c r="K21" s="6">
        <f>RANK(J21,$J$11:$J$48)+COUNTIF($J$11:J21,J21)-1</f>
        <v/>
      </c>
      <c r="L21" s="6">
        <f>IF(K21&lt;=$B$6,1,0)</f>
        <v/>
      </c>
      <c r="M21" s="6">
        <f>Parameter!$B$5+I21+L21</f>
        <v/>
      </c>
      <c r="N21" s="17">
        <f>E21/SUM(E$11:E$48)</f>
        <v/>
      </c>
      <c r="O21" s="24">
        <f>IF(M21=0,"",N21/(M21/SUM(M$11:M$48)))</f>
        <v/>
      </c>
      <c r="P21" s="6">
        <f>M21*Parameter!$B$4</f>
        <v/>
      </c>
    </row>
    <row r="22">
      <c r="A22" s="6">
        <f>ROW()-10</f>
        <v/>
      </c>
      <c r="B22" s="16">
        <f>Referensi!B14</f>
        <v/>
      </c>
      <c r="C22" s="9">
        <f>Referensi!C14</f>
        <v/>
      </c>
      <c r="D22" s="9">
        <f>Referensi!D14</f>
        <v/>
      </c>
      <c r="E22" s="9">
        <f>IF(UPPER(Parameter!$B$6)="DPT",C22,D22)</f>
        <v/>
      </c>
      <c r="F22" s="23">
        <f>SQRT(E22)</f>
        <v/>
      </c>
      <c r="G22" s="17">
        <f>F22/SUM(F$11:F$48)</f>
        <v/>
      </c>
      <c r="H22" s="18">
        <f>$B$5*G22</f>
        <v/>
      </c>
      <c r="I22" s="6">
        <f>INT(H22)</f>
        <v/>
      </c>
      <c r="J22" s="17">
        <f>H22-I22</f>
        <v/>
      </c>
      <c r="K22" s="6">
        <f>RANK(J22,$J$11:$J$48)+COUNTIF($J$11:J22,J22)-1</f>
        <v/>
      </c>
      <c r="L22" s="6">
        <f>IF(K22&lt;=$B$6,1,0)</f>
        <v/>
      </c>
      <c r="M22" s="6">
        <f>Parameter!$B$5+I22+L22</f>
        <v/>
      </c>
      <c r="N22" s="17">
        <f>E22/SUM(E$11:E$48)</f>
        <v/>
      </c>
      <c r="O22" s="24">
        <f>IF(M22=0,"",N22/(M22/SUM(M$11:M$48)))</f>
        <v/>
      </c>
      <c r="P22" s="6">
        <f>M22*Parameter!$B$4</f>
        <v/>
      </c>
    </row>
    <row r="23">
      <c r="A23" s="6">
        <f>ROW()-10</f>
        <v/>
      </c>
      <c r="B23" s="16">
        <f>Referensi!B15</f>
        <v/>
      </c>
      <c r="C23" s="9">
        <f>Referensi!C15</f>
        <v/>
      </c>
      <c r="D23" s="9">
        <f>Referensi!D15</f>
        <v/>
      </c>
      <c r="E23" s="9">
        <f>IF(UPPER(Parameter!$B$6)="DPT",C23,D23)</f>
        <v/>
      </c>
      <c r="F23" s="23">
        <f>SQRT(E23)</f>
        <v/>
      </c>
      <c r="G23" s="17">
        <f>F23/SUM(F$11:F$48)</f>
        <v/>
      </c>
      <c r="H23" s="18">
        <f>$B$5*G23</f>
        <v/>
      </c>
      <c r="I23" s="6">
        <f>INT(H23)</f>
        <v/>
      </c>
      <c r="J23" s="17">
        <f>H23-I23</f>
        <v/>
      </c>
      <c r="K23" s="6">
        <f>RANK(J23,$J$11:$J$48)+COUNTIF($J$11:J23,J23)-1</f>
        <v/>
      </c>
      <c r="L23" s="6">
        <f>IF(K23&lt;=$B$6,1,0)</f>
        <v/>
      </c>
      <c r="M23" s="6">
        <f>Parameter!$B$5+I23+L23</f>
        <v/>
      </c>
      <c r="N23" s="17">
        <f>E23/SUM(E$11:E$48)</f>
        <v/>
      </c>
      <c r="O23" s="24">
        <f>IF(M23=0,"",N23/(M23/SUM(M$11:M$48)))</f>
        <v/>
      </c>
      <c r="P23" s="6">
        <f>M23*Parameter!$B$4</f>
        <v/>
      </c>
    </row>
    <row r="24">
      <c r="A24" s="6">
        <f>ROW()-10</f>
        <v/>
      </c>
      <c r="B24" s="16">
        <f>Referensi!B16</f>
        <v/>
      </c>
      <c r="C24" s="9">
        <f>Referensi!C16</f>
        <v/>
      </c>
      <c r="D24" s="9">
        <f>Referensi!D16</f>
        <v/>
      </c>
      <c r="E24" s="9">
        <f>IF(UPPER(Parameter!$B$6)="DPT",C24,D24)</f>
        <v/>
      </c>
      <c r="F24" s="23">
        <f>SQRT(E24)</f>
        <v/>
      </c>
      <c r="G24" s="17">
        <f>F24/SUM(F$11:F$48)</f>
        <v/>
      </c>
      <c r="H24" s="18">
        <f>$B$5*G24</f>
        <v/>
      </c>
      <c r="I24" s="6">
        <f>INT(H24)</f>
        <v/>
      </c>
      <c r="J24" s="17">
        <f>H24-I24</f>
        <v/>
      </c>
      <c r="K24" s="6">
        <f>RANK(J24,$J$11:$J$48)+COUNTIF($J$11:J24,J24)-1</f>
        <v/>
      </c>
      <c r="L24" s="6">
        <f>IF(K24&lt;=$B$6,1,0)</f>
        <v/>
      </c>
      <c r="M24" s="6">
        <f>Parameter!$B$5+I24+L24</f>
        <v/>
      </c>
      <c r="N24" s="17">
        <f>E24/SUM(E$11:E$48)</f>
        <v/>
      </c>
      <c r="O24" s="24">
        <f>IF(M24=0,"",N24/(M24/SUM(M$11:M$48)))</f>
        <v/>
      </c>
      <c r="P24" s="6">
        <f>M24*Parameter!$B$4</f>
        <v/>
      </c>
    </row>
    <row r="25">
      <c r="A25" s="6">
        <f>ROW()-10</f>
        <v/>
      </c>
      <c r="B25" s="16">
        <f>Referensi!B17</f>
        <v/>
      </c>
      <c r="C25" s="9">
        <f>Referensi!C17</f>
        <v/>
      </c>
      <c r="D25" s="9">
        <f>Referensi!D17</f>
        <v/>
      </c>
      <c r="E25" s="9">
        <f>IF(UPPER(Parameter!$B$6)="DPT",C25,D25)</f>
        <v/>
      </c>
      <c r="F25" s="23">
        <f>SQRT(E25)</f>
        <v/>
      </c>
      <c r="G25" s="17">
        <f>F25/SUM(F$11:F$48)</f>
        <v/>
      </c>
      <c r="H25" s="18">
        <f>$B$5*G25</f>
        <v/>
      </c>
      <c r="I25" s="6">
        <f>INT(H25)</f>
        <v/>
      </c>
      <c r="J25" s="17">
        <f>H25-I25</f>
        <v/>
      </c>
      <c r="K25" s="6">
        <f>RANK(J25,$J$11:$J$48)+COUNTIF($J$11:J25,J25)-1</f>
        <v/>
      </c>
      <c r="L25" s="6">
        <f>IF(K25&lt;=$B$6,1,0)</f>
        <v/>
      </c>
      <c r="M25" s="6">
        <f>Parameter!$B$5+I25+L25</f>
        <v/>
      </c>
      <c r="N25" s="17">
        <f>E25/SUM(E$11:E$48)</f>
        <v/>
      </c>
      <c r="O25" s="24">
        <f>IF(M25=0,"",N25/(M25/SUM(M$11:M$48)))</f>
        <v/>
      </c>
      <c r="P25" s="6">
        <f>M25*Parameter!$B$4</f>
        <v/>
      </c>
    </row>
    <row r="26">
      <c r="A26" s="6">
        <f>ROW()-10</f>
        <v/>
      </c>
      <c r="B26" s="16">
        <f>Referensi!B18</f>
        <v/>
      </c>
      <c r="C26" s="9">
        <f>Referensi!C18</f>
        <v/>
      </c>
      <c r="D26" s="9">
        <f>Referensi!D18</f>
        <v/>
      </c>
      <c r="E26" s="9">
        <f>IF(UPPER(Parameter!$B$6)="DPT",C26,D26)</f>
        <v/>
      </c>
      <c r="F26" s="23">
        <f>SQRT(E26)</f>
        <v/>
      </c>
      <c r="G26" s="17">
        <f>F26/SUM(F$11:F$48)</f>
        <v/>
      </c>
      <c r="H26" s="18">
        <f>$B$5*G26</f>
        <v/>
      </c>
      <c r="I26" s="6">
        <f>INT(H26)</f>
        <v/>
      </c>
      <c r="J26" s="17">
        <f>H26-I26</f>
        <v/>
      </c>
      <c r="K26" s="6">
        <f>RANK(J26,$J$11:$J$48)+COUNTIF($J$11:J26,J26)-1</f>
        <v/>
      </c>
      <c r="L26" s="6">
        <f>IF(K26&lt;=$B$6,1,0)</f>
        <v/>
      </c>
      <c r="M26" s="6">
        <f>Parameter!$B$5+I26+L26</f>
        <v/>
      </c>
      <c r="N26" s="17">
        <f>E26/SUM(E$11:E$48)</f>
        <v/>
      </c>
      <c r="O26" s="24">
        <f>IF(M26=0,"",N26/(M26/SUM(M$11:M$48)))</f>
        <v/>
      </c>
      <c r="P26" s="6">
        <f>M26*Parameter!$B$4</f>
        <v/>
      </c>
    </row>
    <row r="27">
      <c r="A27" s="6">
        <f>ROW()-10</f>
        <v/>
      </c>
      <c r="B27" s="16">
        <f>Referensi!B19</f>
        <v/>
      </c>
      <c r="C27" s="9">
        <f>Referensi!C19</f>
        <v/>
      </c>
      <c r="D27" s="9">
        <f>Referensi!D19</f>
        <v/>
      </c>
      <c r="E27" s="9">
        <f>IF(UPPER(Parameter!$B$6)="DPT",C27,D27)</f>
        <v/>
      </c>
      <c r="F27" s="23">
        <f>SQRT(E27)</f>
        <v/>
      </c>
      <c r="G27" s="17">
        <f>F27/SUM(F$11:F$48)</f>
        <v/>
      </c>
      <c r="H27" s="18">
        <f>$B$5*G27</f>
        <v/>
      </c>
      <c r="I27" s="6">
        <f>INT(H27)</f>
        <v/>
      </c>
      <c r="J27" s="17">
        <f>H27-I27</f>
        <v/>
      </c>
      <c r="K27" s="6">
        <f>RANK(J27,$J$11:$J$48)+COUNTIF($J$11:J27,J27)-1</f>
        <v/>
      </c>
      <c r="L27" s="6">
        <f>IF(K27&lt;=$B$6,1,0)</f>
        <v/>
      </c>
      <c r="M27" s="6">
        <f>Parameter!$B$5+I27+L27</f>
        <v/>
      </c>
      <c r="N27" s="17">
        <f>E27/SUM(E$11:E$48)</f>
        <v/>
      </c>
      <c r="O27" s="24">
        <f>IF(M27=0,"",N27/(M27/SUM(M$11:M$48)))</f>
        <v/>
      </c>
      <c r="P27" s="6">
        <f>M27*Parameter!$B$4</f>
        <v/>
      </c>
    </row>
    <row r="28">
      <c r="A28" s="6">
        <f>ROW()-10</f>
        <v/>
      </c>
      <c r="B28" s="16">
        <f>Referensi!B20</f>
        <v/>
      </c>
      <c r="C28" s="9">
        <f>Referensi!C20</f>
        <v/>
      </c>
      <c r="D28" s="9">
        <f>Referensi!D20</f>
        <v/>
      </c>
      <c r="E28" s="9">
        <f>IF(UPPER(Parameter!$B$6)="DPT",C28,D28)</f>
        <v/>
      </c>
      <c r="F28" s="23">
        <f>SQRT(E28)</f>
        <v/>
      </c>
      <c r="G28" s="17">
        <f>F28/SUM(F$11:F$48)</f>
        <v/>
      </c>
      <c r="H28" s="18">
        <f>$B$5*G28</f>
        <v/>
      </c>
      <c r="I28" s="6">
        <f>INT(H28)</f>
        <v/>
      </c>
      <c r="J28" s="17">
        <f>H28-I28</f>
        <v/>
      </c>
      <c r="K28" s="6">
        <f>RANK(J28,$J$11:$J$48)+COUNTIF($J$11:J28,J28)-1</f>
        <v/>
      </c>
      <c r="L28" s="6">
        <f>IF(K28&lt;=$B$6,1,0)</f>
        <v/>
      </c>
      <c r="M28" s="6">
        <f>Parameter!$B$5+I28+L28</f>
        <v/>
      </c>
      <c r="N28" s="17">
        <f>E28/SUM(E$11:E$48)</f>
        <v/>
      </c>
      <c r="O28" s="24">
        <f>IF(M28=0,"",N28/(M28/SUM(M$11:M$48)))</f>
        <v/>
      </c>
      <c r="P28" s="6">
        <f>M28*Parameter!$B$4</f>
        <v/>
      </c>
    </row>
    <row r="29">
      <c r="A29" s="6">
        <f>ROW()-10</f>
        <v/>
      </c>
      <c r="B29" s="16">
        <f>Referensi!B21</f>
        <v/>
      </c>
      <c r="C29" s="9">
        <f>Referensi!C21</f>
        <v/>
      </c>
      <c r="D29" s="9">
        <f>Referensi!D21</f>
        <v/>
      </c>
      <c r="E29" s="9">
        <f>IF(UPPER(Parameter!$B$6)="DPT",C29,D29)</f>
        <v/>
      </c>
      <c r="F29" s="23">
        <f>SQRT(E29)</f>
        <v/>
      </c>
      <c r="G29" s="17">
        <f>F29/SUM(F$11:F$48)</f>
        <v/>
      </c>
      <c r="H29" s="18">
        <f>$B$5*G29</f>
        <v/>
      </c>
      <c r="I29" s="6">
        <f>INT(H29)</f>
        <v/>
      </c>
      <c r="J29" s="17">
        <f>H29-I29</f>
        <v/>
      </c>
      <c r="K29" s="6">
        <f>RANK(J29,$J$11:$J$48)+COUNTIF($J$11:J29,J29)-1</f>
        <v/>
      </c>
      <c r="L29" s="6">
        <f>IF(K29&lt;=$B$6,1,0)</f>
        <v/>
      </c>
      <c r="M29" s="6">
        <f>Parameter!$B$5+I29+L29</f>
        <v/>
      </c>
      <c r="N29" s="17">
        <f>E29/SUM(E$11:E$48)</f>
        <v/>
      </c>
      <c r="O29" s="24">
        <f>IF(M29=0,"",N29/(M29/SUM(M$11:M$48)))</f>
        <v/>
      </c>
      <c r="P29" s="6">
        <f>M29*Parameter!$B$4</f>
        <v/>
      </c>
    </row>
    <row r="30">
      <c r="A30" s="6">
        <f>ROW()-10</f>
        <v/>
      </c>
      <c r="B30" s="16">
        <f>Referensi!B22</f>
        <v/>
      </c>
      <c r="C30" s="9">
        <f>Referensi!C22</f>
        <v/>
      </c>
      <c r="D30" s="9">
        <f>Referensi!D22</f>
        <v/>
      </c>
      <c r="E30" s="9">
        <f>IF(UPPER(Parameter!$B$6)="DPT",C30,D30)</f>
        <v/>
      </c>
      <c r="F30" s="23">
        <f>SQRT(E30)</f>
        <v/>
      </c>
      <c r="G30" s="17">
        <f>F30/SUM(F$11:F$48)</f>
        <v/>
      </c>
      <c r="H30" s="18">
        <f>$B$5*G30</f>
        <v/>
      </c>
      <c r="I30" s="6">
        <f>INT(H30)</f>
        <v/>
      </c>
      <c r="J30" s="17">
        <f>H30-I30</f>
        <v/>
      </c>
      <c r="K30" s="6">
        <f>RANK(J30,$J$11:$J$48)+COUNTIF($J$11:J30,J30)-1</f>
        <v/>
      </c>
      <c r="L30" s="6">
        <f>IF(K30&lt;=$B$6,1,0)</f>
        <v/>
      </c>
      <c r="M30" s="6">
        <f>Parameter!$B$5+I30+L30</f>
        <v/>
      </c>
      <c r="N30" s="17">
        <f>E30/SUM(E$11:E$48)</f>
        <v/>
      </c>
      <c r="O30" s="24">
        <f>IF(M30=0,"",N30/(M30/SUM(M$11:M$48)))</f>
        <v/>
      </c>
      <c r="P30" s="6">
        <f>M30*Parameter!$B$4</f>
        <v/>
      </c>
    </row>
    <row r="31">
      <c r="A31" s="6">
        <f>ROW()-10</f>
        <v/>
      </c>
      <c r="B31" s="16">
        <f>Referensi!B23</f>
        <v/>
      </c>
      <c r="C31" s="9">
        <f>Referensi!C23</f>
        <v/>
      </c>
      <c r="D31" s="9">
        <f>Referensi!D23</f>
        <v/>
      </c>
      <c r="E31" s="9">
        <f>IF(UPPER(Parameter!$B$6)="DPT",C31,D31)</f>
        <v/>
      </c>
      <c r="F31" s="23">
        <f>SQRT(E31)</f>
        <v/>
      </c>
      <c r="G31" s="17">
        <f>F31/SUM(F$11:F$48)</f>
        <v/>
      </c>
      <c r="H31" s="18">
        <f>$B$5*G31</f>
        <v/>
      </c>
      <c r="I31" s="6">
        <f>INT(H31)</f>
        <v/>
      </c>
      <c r="J31" s="17">
        <f>H31-I31</f>
        <v/>
      </c>
      <c r="K31" s="6">
        <f>RANK(J31,$J$11:$J$48)+COUNTIF($J$11:J31,J31)-1</f>
        <v/>
      </c>
      <c r="L31" s="6">
        <f>IF(K31&lt;=$B$6,1,0)</f>
        <v/>
      </c>
      <c r="M31" s="6">
        <f>Parameter!$B$5+I31+L31</f>
        <v/>
      </c>
      <c r="N31" s="17">
        <f>E31/SUM(E$11:E$48)</f>
        <v/>
      </c>
      <c r="O31" s="24">
        <f>IF(M31=0,"",N31/(M31/SUM(M$11:M$48)))</f>
        <v/>
      </c>
      <c r="P31" s="6">
        <f>M31*Parameter!$B$4</f>
        <v/>
      </c>
    </row>
    <row r="32">
      <c r="A32" s="6">
        <f>ROW()-10</f>
        <v/>
      </c>
      <c r="B32" s="16">
        <f>Referensi!B24</f>
        <v/>
      </c>
      <c r="C32" s="9">
        <f>Referensi!C24</f>
        <v/>
      </c>
      <c r="D32" s="9">
        <f>Referensi!D24</f>
        <v/>
      </c>
      <c r="E32" s="9">
        <f>IF(UPPER(Parameter!$B$6)="DPT",C32,D32)</f>
        <v/>
      </c>
      <c r="F32" s="23">
        <f>SQRT(E32)</f>
        <v/>
      </c>
      <c r="G32" s="17">
        <f>F32/SUM(F$11:F$48)</f>
        <v/>
      </c>
      <c r="H32" s="18">
        <f>$B$5*G32</f>
        <v/>
      </c>
      <c r="I32" s="6">
        <f>INT(H32)</f>
        <v/>
      </c>
      <c r="J32" s="17">
        <f>H32-I32</f>
        <v/>
      </c>
      <c r="K32" s="6">
        <f>RANK(J32,$J$11:$J$48)+COUNTIF($J$11:J32,J32)-1</f>
        <v/>
      </c>
      <c r="L32" s="6">
        <f>IF(K32&lt;=$B$6,1,0)</f>
        <v/>
      </c>
      <c r="M32" s="6">
        <f>Parameter!$B$5+I32+L32</f>
        <v/>
      </c>
      <c r="N32" s="17">
        <f>E32/SUM(E$11:E$48)</f>
        <v/>
      </c>
      <c r="O32" s="24">
        <f>IF(M32=0,"",N32/(M32/SUM(M$11:M$48)))</f>
        <v/>
      </c>
      <c r="P32" s="6">
        <f>M32*Parameter!$B$4</f>
        <v/>
      </c>
    </row>
    <row r="33">
      <c r="A33" s="6">
        <f>ROW()-10</f>
        <v/>
      </c>
      <c r="B33" s="16">
        <f>Referensi!B25</f>
        <v/>
      </c>
      <c r="C33" s="9">
        <f>Referensi!C25</f>
        <v/>
      </c>
      <c r="D33" s="9">
        <f>Referensi!D25</f>
        <v/>
      </c>
      <c r="E33" s="9">
        <f>IF(UPPER(Parameter!$B$6)="DPT",C33,D33)</f>
        <v/>
      </c>
      <c r="F33" s="23">
        <f>SQRT(E33)</f>
        <v/>
      </c>
      <c r="G33" s="17">
        <f>F33/SUM(F$11:F$48)</f>
        <v/>
      </c>
      <c r="H33" s="18">
        <f>$B$5*G33</f>
        <v/>
      </c>
      <c r="I33" s="6">
        <f>INT(H33)</f>
        <v/>
      </c>
      <c r="J33" s="17">
        <f>H33-I33</f>
        <v/>
      </c>
      <c r="K33" s="6">
        <f>RANK(J33,$J$11:$J$48)+COUNTIF($J$11:J33,J33)-1</f>
        <v/>
      </c>
      <c r="L33" s="6">
        <f>IF(K33&lt;=$B$6,1,0)</f>
        <v/>
      </c>
      <c r="M33" s="6">
        <f>Parameter!$B$5+I33+L33</f>
        <v/>
      </c>
      <c r="N33" s="17">
        <f>E33/SUM(E$11:E$48)</f>
        <v/>
      </c>
      <c r="O33" s="24">
        <f>IF(M33=0,"",N33/(M33/SUM(M$11:M$48)))</f>
        <v/>
      </c>
      <c r="P33" s="6">
        <f>M33*Parameter!$B$4</f>
        <v/>
      </c>
    </row>
    <row r="34">
      <c r="A34" s="6">
        <f>ROW()-10</f>
        <v/>
      </c>
      <c r="B34" s="16">
        <f>Referensi!B26</f>
        <v/>
      </c>
      <c r="C34" s="9">
        <f>Referensi!C26</f>
        <v/>
      </c>
      <c r="D34" s="9">
        <f>Referensi!D26</f>
        <v/>
      </c>
      <c r="E34" s="9">
        <f>IF(UPPER(Parameter!$B$6)="DPT",C34,D34)</f>
        <v/>
      </c>
      <c r="F34" s="23">
        <f>SQRT(E34)</f>
        <v/>
      </c>
      <c r="G34" s="17">
        <f>F34/SUM(F$11:F$48)</f>
        <v/>
      </c>
      <c r="H34" s="18">
        <f>$B$5*G34</f>
        <v/>
      </c>
      <c r="I34" s="6">
        <f>INT(H34)</f>
        <v/>
      </c>
      <c r="J34" s="17">
        <f>H34-I34</f>
        <v/>
      </c>
      <c r="K34" s="6">
        <f>RANK(J34,$J$11:$J$48)+COUNTIF($J$11:J34,J34)-1</f>
        <v/>
      </c>
      <c r="L34" s="6">
        <f>IF(K34&lt;=$B$6,1,0)</f>
        <v/>
      </c>
      <c r="M34" s="6">
        <f>Parameter!$B$5+I34+L34</f>
        <v/>
      </c>
      <c r="N34" s="17">
        <f>E34/SUM(E$11:E$48)</f>
        <v/>
      </c>
      <c r="O34" s="24">
        <f>IF(M34=0,"",N34/(M34/SUM(M$11:M$48)))</f>
        <v/>
      </c>
      <c r="P34" s="6">
        <f>M34*Parameter!$B$4</f>
        <v/>
      </c>
    </row>
    <row r="35">
      <c r="A35" s="6">
        <f>ROW()-10</f>
        <v/>
      </c>
      <c r="B35" s="16">
        <f>Referensi!B27</f>
        <v/>
      </c>
      <c r="C35" s="9">
        <f>Referensi!C27</f>
        <v/>
      </c>
      <c r="D35" s="9">
        <f>Referensi!D27</f>
        <v/>
      </c>
      <c r="E35" s="9">
        <f>IF(UPPER(Parameter!$B$6)="DPT",C35,D35)</f>
        <v/>
      </c>
      <c r="F35" s="23">
        <f>SQRT(E35)</f>
        <v/>
      </c>
      <c r="G35" s="17">
        <f>F35/SUM(F$11:F$48)</f>
        <v/>
      </c>
      <c r="H35" s="18">
        <f>$B$5*G35</f>
        <v/>
      </c>
      <c r="I35" s="6">
        <f>INT(H35)</f>
        <v/>
      </c>
      <c r="J35" s="17">
        <f>H35-I35</f>
        <v/>
      </c>
      <c r="K35" s="6">
        <f>RANK(J35,$J$11:$J$48)+COUNTIF($J$11:J35,J35)-1</f>
        <v/>
      </c>
      <c r="L35" s="6">
        <f>IF(K35&lt;=$B$6,1,0)</f>
        <v/>
      </c>
      <c r="M35" s="6">
        <f>Parameter!$B$5+I35+L35</f>
        <v/>
      </c>
      <c r="N35" s="17">
        <f>E35/SUM(E$11:E$48)</f>
        <v/>
      </c>
      <c r="O35" s="24">
        <f>IF(M35=0,"",N35/(M35/SUM(M$11:M$48)))</f>
        <v/>
      </c>
      <c r="P35" s="6">
        <f>M35*Parameter!$B$4</f>
        <v/>
      </c>
    </row>
    <row r="36">
      <c r="A36" s="6">
        <f>ROW()-10</f>
        <v/>
      </c>
      <c r="B36" s="16">
        <f>Referensi!B28</f>
        <v/>
      </c>
      <c r="C36" s="9">
        <f>Referensi!C28</f>
        <v/>
      </c>
      <c r="D36" s="9">
        <f>Referensi!D28</f>
        <v/>
      </c>
      <c r="E36" s="9">
        <f>IF(UPPER(Parameter!$B$6)="DPT",C36,D36)</f>
        <v/>
      </c>
      <c r="F36" s="23">
        <f>SQRT(E36)</f>
        <v/>
      </c>
      <c r="G36" s="17">
        <f>F36/SUM(F$11:F$48)</f>
        <v/>
      </c>
      <c r="H36" s="18">
        <f>$B$5*G36</f>
        <v/>
      </c>
      <c r="I36" s="6">
        <f>INT(H36)</f>
        <v/>
      </c>
      <c r="J36" s="17">
        <f>H36-I36</f>
        <v/>
      </c>
      <c r="K36" s="6">
        <f>RANK(J36,$J$11:$J$48)+COUNTIF($J$11:J36,J36)-1</f>
        <v/>
      </c>
      <c r="L36" s="6">
        <f>IF(K36&lt;=$B$6,1,0)</f>
        <v/>
      </c>
      <c r="M36" s="6">
        <f>Parameter!$B$5+I36+L36</f>
        <v/>
      </c>
      <c r="N36" s="17">
        <f>E36/SUM(E$11:E$48)</f>
        <v/>
      </c>
      <c r="O36" s="24">
        <f>IF(M36=0,"",N36/(M36/SUM(M$11:M$48)))</f>
        <v/>
      </c>
      <c r="P36" s="6">
        <f>M36*Parameter!$B$4</f>
        <v/>
      </c>
    </row>
    <row r="37">
      <c r="A37" s="6">
        <f>ROW()-10</f>
        <v/>
      </c>
      <c r="B37" s="16">
        <f>Referensi!B29</f>
        <v/>
      </c>
      <c r="C37" s="9">
        <f>Referensi!C29</f>
        <v/>
      </c>
      <c r="D37" s="9">
        <f>Referensi!D29</f>
        <v/>
      </c>
      <c r="E37" s="9">
        <f>IF(UPPER(Parameter!$B$6)="DPT",C37,D37)</f>
        <v/>
      </c>
      <c r="F37" s="23">
        <f>SQRT(E37)</f>
        <v/>
      </c>
      <c r="G37" s="17">
        <f>F37/SUM(F$11:F$48)</f>
        <v/>
      </c>
      <c r="H37" s="18">
        <f>$B$5*G37</f>
        <v/>
      </c>
      <c r="I37" s="6">
        <f>INT(H37)</f>
        <v/>
      </c>
      <c r="J37" s="17">
        <f>H37-I37</f>
        <v/>
      </c>
      <c r="K37" s="6">
        <f>RANK(J37,$J$11:$J$48)+COUNTIF($J$11:J37,J37)-1</f>
        <v/>
      </c>
      <c r="L37" s="6">
        <f>IF(K37&lt;=$B$6,1,0)</f>
        <v/>
      </c>
      <c r="M37" s="6">
        <f>Parameter!$B$5+I37+L37</f>
        <v/>
      </c>
      <c r="N37" s="17">
        <f>E37/SUM(E$11:E$48)</f>
        <v/>
      </c>
      <c r="O37" s="24">
        <f>IF(M37=0,"",N37/(M37/SUM(M$11:M$48)))</f>
        <v/>
      </c>
      <c r="P37" s="6">
        <f>M37*Parameter!$B$4</f>
        <v/>
      </c>
    </row>
    <row r="38">
      <c r="A38" s="6">
        <f>ROW()-10</f>
        <v/>
      </c>
      <c r="B38" s="16">
        <f>Referensi!B30</f>
        <v/>
      </c>
      <c r="C38" s="9">
        <f>Referensi!C30</f>
        <v/>
      </c>
      <c r="D38" s="9">
        <f>Referensi!D30</f>
        <v/>
      </c>
      <c r="E38" s="9">
        <f>IF(UPPER(Parameter!$B$6)="DPT",C38,D38)</f>
        <v/>
      </c>
      <c r="F38" s="23">
        <f>SQRT(E38)</f>
        <v/>
      </c>
      <c r="G38" s="17">
        <f>F38/SUM(F$11:F$48)</f>
        <v/>
      </c>
      <c r="H38" s="18">
        <f>$B$5*G38</f>
        <v/>
      </c>
      <c r="I38" s="6">
        <f>INT(H38)</f>
        <v/>
      </c>
      <c r="J38" s="17">
        <f>H38-I38</f>
        <v/>
      </c>
      <c r="K38" s="6">
        <f>RANK(J38,$J$11:$J$48)+COUNTIF($J$11:J38,J38)-1</f>
        <v/>
      </c>
      <c r="L38" s="6">
        <f>IF(K38&lt;=$B$6,1,0)</f>
        <v/>
      </c>
      <c r="M38" s="6">
        <f>Parameter!$B$5+I38+L38</f>
        <v/>
      </c>
      <c r="N38" s="17">
        <f>E38/SUM(E$11:E$48)</f>
        <v/>
      </c>
      <c r="O38" s="24">
        <f>IF(M38=0,"",N38/(M38/SUM(M$11:M$48)))</f>
        <v/>
      </c>
      <c r="P38" s="6">
        <f>M38*Parameter!$B$4</f>
        <v/>
      </c>
    </row>
    <row r="39">
      <c r="A39" s="6">
        <f>ROW()-10</f>
        <v/>
      </c>
      <c r="B39" s="16">
        <f>Referensi!B31</f>
        <v/>
      </c>
      <c r="C39" s="9">
        <f>Referensi!C31</f>
        <v/>
      </c>
      <c r="D39" s="9">
        <f>Referensi!D31</f>
        <v/>
      </c>
      <c r="E39" s="9">
        <f>IF(UPPER(Parameter!$B$6)="DPT",C39,D39)</f>
        <v/>
      </c>
      <c r="F39" s="23">
        <f>SQRT(E39)</f>
        <v/>
      </c>
      <c r="G39" s="17">
        <f>F39/SUM(F$11:F$48)</f>
        <v/>
      </c>
      <c r="H39" s="18">
        <f>$B$5*G39</f>
        <v/>
      </c>
      <c r="I39" s="6">
        <f>INT(H39)</f>
        <v/>
      </c>
      <c r="J39" s="17">
        <f>H39-I39</f>
        <v/>
      </c>
      <c r="K39" s="6">
        <f>RANK(J39,$J$11:$J$48)+COUNTIF($J$11:J39,J39)-1</f>
        <v/>
      </c>
      <c r="L39" s="6">
        <f>IF(K39&lt;=$B$6,1,0)</f>
        <v/>
      </c>
      <c r="M39" s="6">
        <f>Parameter!$B$5+I39+L39</f>
        <v/>
      </c>
      <c r="N39" s="17">
        <f>E39/SUM(E$11:E$48)</f>
        <v/>
      </c>
      <c r="O39" s="24">
        <f>IF(M39=0,"",N39/(M39/SUM(M$11:M$48)))</f>
        <v/>
      </c>
      <c r="P39" s="6">
        <f>M39*Parameter!$B$4</f>
        <v/>
      </c>
    </row>
    <row r="40">
      <c r="A40" s="6">
        <f>ROW()-10</f>
        <v/>
      </c>
      <c r="B40" s="16">
        <f>Referensi!B32</f>
        <v/>
      </c>
      <c r="C40" s="9">
        <f>Referensi!C32</f>
        <v/>
      </c>
      <c r="D40" s="9">
        <f>Referensi!D32</f>
        <v/>
      </c>
      <c r="E40" s="9">
        <f>IF(UPPER(Parameter!$B$6)="DPT",C40,D40)</f>
        <v/>
      </c>
      <c r="F40" s="23">
        <f>SQRT(E40)</f>
        <v/>
      </c>
      <c r="G40" s="17">
        <f>F40/SUM(F$11:F$48)</f>
        <v/>
      </c>
      <c r="H40" s="18">
        <f>$B$5*G40</f>
        <v/>
      </c>
      <c r="I40" s="6">
        <f>INT(H40)</f>
        <v/>
      </c>
      <c r="J40" s="17">
        <f>H40-I40</f>
        <v/>
      </c>
      <c r="K40" s="6">
        <f>RANK(J40,$J$11:$J$48)+COUNTIF($J$11:J40,J40)-1</f>
        <v/>
      </c>
      <c r="L40" s="6">
        <f>IF(K40&lt;=$B$6,1,0)</f>
        <v/>
      </c>
      <c r="M40" s="6">
        <f>Parameter!$B$5+I40+L40</f>
        <v/>
      </c>
      <c r="N40" s="17">
        <f>E40/SUM(E$11:E$48)</f>
        <v/>
      </c>
      <c r="O40" s="24">
        <f>IF(M40=0,"",N40/(M40/SUM(M$11:M$48)))</f>
        <v/>
      </c>
      <c r="P40" s="6">
        <f>M40*Parameter!$B$4</f>
        <v/>
      </c>
    </row>
    <row r="41">
      <c r="A41" s="6">
        <f>ROW()-10</f>
        <v/>
      </c>
      <c r="B41" s="16">
        <f>Referensi!B33</f>
        <v/>
      </c>
      <c r="C41" s="9">
        <f>Referensi!C33</f>
        <v/>
      </c>
      <c r="D41" s="9">
        <f>Referensi!D33</f>
        <v/>
      </c>
      <c r="E41" s="9">
        <f>IF(UPPER(Parameter!$B$6)="DPT",C41,D41)</f>
        <v/>
      </c>
      <c r="F41" s="23">
        <f>SQRT(E41)</f>
        <v/>
      </c>
      <c r="G41" s="17">
        <f>F41/SUM(F$11:F$48)</f>
        <v/>
      </c>
      <c r="H41" s="18">
        <f>$B$5*G41</f>
        <v/>
      </c>
      <c r="I41" s="6">
        <f>INT(H41)</f>
        <v/>
      </c>
      <c r="J41" s="17">
        <f>H41-I41</f>
        <v/>
      </c>
      <c r="K41" s="6">
        <f>RANK(J41,$J$11:$J$48)+COUNTIF($J$11:J41,J41)-1</f>
        <v/>
      </c>
      <c r="L41" s="6">
        <f>IF(K41&lt;=$B$6,1,0)</f>
        <v/>
      </c>
      <c r="M41" s="6">
        <f>Parameter!$B$5+I41+L41</f>
        <v/>
      </c>
      <c r="N41" s="17">
        <f>E41/SUM(E$11:E$48)</f>
        <v/>
      </c>
      <c r="O41" s="24">
        <f>IF(M41=0,"",N41/(M41/SUM(M$11:M$48)))</f>
        <v/>
      </c>
      <c r="P41" s="6">
        <f>M41*Parameter!$B$4</f>
        <v/>
      </c>
    </row>
    <row r="42">
      <c r="A42" s="6">
        <f>ROW()-10</f>
        <v/>
      </c>
      <c r="B42" s="16">
        <f>Referensi!B34</f>
        <v/>
      </c>
      <c r="C42" s="9">
        <f>Referensi!C34</f>
        <v/>
      </c>
      <c r="D42" s="9">
        <f>Referensi!D34</f>
        <v/>
      </c>
      <c r="E42" s="9">
        <f>IF(UPPER(Parameter!$B$6)="DPT",C42,D42)</f>
        <v/>
      </c>
      <c r="F42" s="23">
        <f>SQRT(E42)</f>
        <v/>
      </c>
      <c r="G42" s="17">
        <f>F42/SUM(F$11:F$48)</f>
        <v/>
      </c>
      <c r="H42" s="18">
        <f>$B$5*G42</f>
        <v/>
      </c>
      <c r="I42" s="6">
        <f>INT(H42)</f>
        <v/>
      </c>
      <c r="J42" s="17">
        <f>H42-I42</f>
        <v/>
      </c>
      <c r="K42" s="6">
        <f>RANK(J42,$J$11:$J$48)+COUNTIF($J$11:J42,J42)-1</f>
        <v/>
      </c>
      <c r="L42" s="6">
        <f>IF(K42&lt;=$B$6,1,0)</f>
        <v/>
      </c>
      <c r="M42" s="6">
        <f>Parameter!$B$5+I42+L42</f>
        <v/>
      </c>
      <c r="N42" s="17">
        <f>E42/SUM(E$11:E$48)</f>
        <v/>
      </c>
      <c r="O42" s="24">
        <f>IF(M42=0,"",N42/(M42/SUM(M$11:M$48)))</f>
        <v/>
      </c>
      <c r="P42" s="6">
        <f>M42*Parameter!$B$4</f>
        <v/>
      </c>
    </row>
    <row r="43">
      <c r="A43" s="6">
        <f>ROW()-10</f>
        <v/>
      </c>
      <c r="B43" s="16">
        <f>Referensi!B35</f>
        <v/>
      </c>
      <c r="C43" s="9">
        <f>Referensi!C35</f>
        <v/>
      </c>
      <c r="D43" s="9">
        <f>Referensi!D35</f>
        <v/>
      </c>
      <c r="E43" s="9">
        <f>IF(UPPER(Parameter!$B$6)="DPT",C43,D43)</f>
        <v/>
      </c>
      <c r="F43" s="23">
        <f>SQRT(E43)</f>
        <v/>
      </c>
      <c r="G43" s="17">
        <f>F43/SUM(F$11:F$48)</f>
        <v/>
      </c>
      <c r="H43" s="18">
        <f>$B$5*G43</f>
        <v/>
      </c>
      <c r="I43" s="6">
        <f>INT(H43)</f>
        <v/>
      </c>
      <c r="J43" s="17">
        <f>H43-I43</f>
        <v/>
      </c>
      <c r="K43" s="6">
        <f>RANK(J43,$J$11:$J$48)+COUNTIF($J$11:J43,J43)-1</f>
        <v/>
      </c>
      <c r="L43" s="6">
        <f>IF(K43&lt;=$B$6,1,0)</f>
        <v/>
      </c>
      <c r="M43" s="6">
        <f>Parameter!$B$5+I43+L43</f>
        <v/>
      </c>
      <c r="N43" s="17">
        <f>E43/SUM(E$11:E$48)</f>
        <v/>
      </c>
      <c r="O43" s="24">
        <f>IF(M43=0,"",N43/(M43/SUM(M$11:M$48)))</f>
        <v/>
      </c>
      <c r="P43" s="6">
        <f>M43*Parameter!$B$4</f>
        <v/>
      </c>
    </row>
    <row r="44">
      <c r="A44" s="6">
        <f>ROW()-10</f>
        <v/>
      </c>
      <c r="B44" s="16">
        <f>Referensi!B36</f>
        <v/>
      </c>
      <c r="C44" s="9">
        <f>Referensi!C36</f>
        <v/>
      </c>
      <c r="D44" s="9">
        <f>Referensi!D36</f>
        <v/>
      </c>
      <c r="E44" s="9">
        <f>IF(UPPER(Parameter!$B$6)="DPT",C44,D44)</f>
        <v/>
      </c>
      <c r="F44" s="23">
        <f>SQRT(E44)</f>
        <v/>
      </c>
      <c r="G44" s="17">
        <f>F44/SUM(F$11:F$48)</f>
        <v/>
      </c>
      <c r="H44" s="18">
        <f>$B$5*G44</f>
        <v/>
      </c>
      <c r="I44" s="6">
        <f>INT(H44)</f>
        <v/>
      </c>
      <c r="J44" s="17">
        <f>H44-I44</f>
        <v/>
      </c>
      <c r="K44" s="6">
        <f>RANK(J44,$J$11:$J$48)+COUNTIF($J$11:J44,J44)-1</f>
        <v/>
      </c>
      <c r="L44" s="6">
        <f>IF(K44&lt;=$B$6,1,0)</f>
        <v/>
      </c>
      <c r="M44" s="6">
        <f>Parameter!$B$5+I44+L44</f>
        <v/>
      </c>
      <c r="N44" s="17">
        <f>E44/SUM(E$11:E$48)</f>
        <v/>
      </c>
      <c r="O44" s="24">
        <f>IF(M44=0,"",N44/(M44/SUM(M$11:M$48)))</f>
        <v/>
      </c>
      <c r="P44" s="6">
        <f>M44*Parameter!$B$4</f>
        <v/>
      </c>
    </row>
    <row r="45">
      <c r="A45" s="6">
        <f>ROW()-10</f>
        <v/>
      </c>
      <c r="B45" s="16">
        <f>Referensi!B37</f>
        <v/>
      </c>
      <c r="C45" s="9">
        <f>Referensi!C37</f>
        <v/>
      </c>
      <c r="D45" s="9">
        <f>Referensi!D37</f>
        <v/>
      </c>
      <c r="E45" s="9">
        <f>IF(UPPER(Parameter!$B$6)="DPT",C45,D45)</f>
        <v/>
      </c>
      <c r="F45" s="23">
        <f>SQRT(E45)</f>
        <v/>
      </c>
      <c r="G45" s="17">
        <f>F45/SUM(F$11:F$48)</f>
        <v/>
      </c>
      <c r="H45" s="18">
        <f>$B$5*G45</f>
        <v/>
      </c>
      <c r="I45" s="6">
        <f>INT(H45)</f>
        <v/>
      </c>
      <c r="J45" s="17">
        <f>H45-I45</f>
        <v/>
      </c>
      <c r="K45" s="6">
        <f>RANK(J45,$J$11:$J$48)+COUNTIF($J$11:J45,J45)-1</f>
        <v/>
      </c>
      <c r="L45" s="6">
        <f>IF(K45&lt;=$B$6,1,0)</f>
        <v/>
      </c>
      <c r="M45" s="6">
        <f>Parameter!$B$5+I45+L45</f>
        <v/>
      </c>
      <c r="N45" s="17">
        <f>E45/SUM(E$11:E$48)</f>
        <v/>
      </c>
      <c r="O45" s="24">
        <f>IF(M45=0,"",N45/(M45/SUM(M$11:M$48)))</f>
        <v/>
      </c>
      <c r="P45" s="6">
        <f>M45*Parameter!$B$4</f>
        <v/>
      </c>
    </row>
    <row r="46">
      <c r="A46" s="6">
        <f>ROW()-10</f>
        <v/>
      </c>
      <c r="B46" s="16">
        <f>Referensi!B38</f>
        <v/>
      </c>
      <c r="C46" s="9">
        <f>Referensi!C38</f>
        <v/>
      </c>
      <c r="D46" s="9">
        <f>Referensi!D38</f>
        <v/>
      </c>
      <c r="E46" s="9">
        <f>IF(UPPER(Parameter!$B$6)="DPT",C46,D46)</f>
        <v/>
      </c>
      <c r="F46" s="23">
        <f>SQRT(E46)</f>
        <v/>
      </c>
      <c r="G46" s="17">
        <f>F46/SUM(F$11:F$48)</f>
        <v/>
      </c>
      <c r="H46" s="18">
        <f>$B$5*G46</f>
        <v/>
      </c>
      <c r="I46" s="6">
        <f>INT(H46)</f>
        <v/>
      </c>
      <c r="J46" s="17">
        <f>H46-I46</f>
        <v/>
      </c>
      <c r="K46" s="6">
        <f>RANK(J46,$J$11:$J$48)+COUNTIF($J$11:J46,J46)-1</f>
        <v/>
      </c>
      <c r="L46" s="6">
        <f>IF(K46&lt;=$B$6,1,0)</f>
        <v/>
      </c>
      <c r="M46" s="6">
        <f>Parameter!$B$5+I46+L46</f>
        <v/>
      </c>
      <c r="N46" s="17">
        <f>E46/SUM(E$11:E$48)</f>
        <v/>
      </c>
      <c r="O46" s="24">
        <f>IF(M46=0,"",N46/(M46/SUM(M$11:M$48)))</f>
        <v/>
      </c>
      <c r="P46" s="6">
        <f>M46*Parameter!$B$4</f>
        <v/>
      </c>
    </row>
    <row r="47">
      <c r="A47" s="6">
        <f>ROW()-10</f>
        <v/>
      </c>
      <c r="B47" s="16">
        <f>Referensi!B39</f>
        <v/>
      </c>
      <c r="C47" s="9">
        <f>Referensi!C39</f>
        <v/>
      </c>
      <c r="D47" s="9">
        <f>Referensi!D39</f>
        <v/>
      </c>
      <c r="E47" s="9">
        <f>IF(UPPER(Parameter!$B$6)="DPT",C47,D47)</f>
        <v/>
      </c>
      <c r="F47" s="23">
        <f>SQRT(E47)</f>
        <v/>
      </c>
      <c r="G47" s="17">
        <f>F47/SUM(F$11:F$48)</f>
        <v/>
      </c>
      <c r="H47" s="18">
        <f>$B$5*G47</f>
        <v/>
      </c>
      <c r="I47" s="6">
        <f>INT(H47)</f>
        <v/>
      </c>
      <c r="J47" s="17">
        <f>H47-I47</f>
        <v/>
      </c>
      <c r="K47" s="6">
        <f>RANK(J47,$J$11:$J$48)+COUNTIF($J$11:J47,J47)-1</f>
        <v/>
      </c>
      <c r="L47" s="6">
        <f>IF(K47&lt;=$B$6,1,0)</f>
        <v/>
      </c>
      <c r="M47" s="6">
        <f>Parameter!$B$5+I47+L47</f>
        <v/>
      </c>
      <c r="N47" s="17">
        <f>E47/SUM(E$11:E$48)</f>
        <v/>
      </c>
      <c r="O47" s="24">
        <f>IF(M47=0,"",N47/(M47/SUM(M$11:M$48)))</f>
        <v/>
      </c>
      <c r="P47" s="6">
        <f>M47*Parameter!$B$4</f>
        <v/>
      </c>
    </row>
    <row r="48">
      <c r="A48" s="6">
        <f>ROW()-10</f>
        <v/>
      </c>
      <c r="B48" s="16">
        <f>Referensi!B40</f>
        <v/>
      </c>
      <c r="C48" s="9">
        <f>Referensi!C40</f>
        <v/>
      </c>
      <c r="D48" s="9">
        <f>Referensi!D40</f>
        <v/>
      </c>
      <c r="E48" s="9">
        <f>IF(UPPER(Parameter!$B$6)="DPT",C48,D48)</f>
        <v/>
      </c>
      <c r="F48" s="23">
        <f>SQRT(E48)</f>
        <v/>
      </c>
      <c r="G48" s="17">
        <f>F48/SUM(F$11:F$48)</f>
        <v/>
      </c>
      <c r="H48" s="18">
        <f>$B$5*G48</f>
        <v/>
      </c>
      <c r="I48" s="6">
        <f>INT(H48)</f>
        <v/>
      </c>
      <c r="J48" s="17">
        <f>H48-I48</f>
        <v/>
      </c>
      <c r="K48" s="6">
        <f>RANK(J48,$J$11:$J$48)+COUNTIF($J$11:J48,J48)-1</f>
        <v/>
      </c>
      <c r="L48" s="6">
        <f>IF(K48&lt;=$B$6,1,0)</f>
        <v/>
      </c>
      <c r="M48" s="6">
        <f>Parameter!$B$5+I48+L48</f>
        <v/>
      </c>
      <c r="N48" s="17">
        <f>E48/SUM(E$11:E$48)</f>
        <v/>
      </c>
      <c r="O48" s="24">
        <f>IF(M48=0,"",N48/(M48/SUM(M$11:M$48)))</f>
        <v/>
      </c>
      <c r="P48" s="6">
        <f>M48*Parameter!$B$4</f>
        <v/>
      </c>
    </row>
    <row r="49">
      <c r="A49" s="19" t="n"/>
      <c r="B49" s="20" t="inlineStr">
        <is>
          <t>TOTAL</t>
        </is>
      </c>
      <c r="C49" s="21">
        <f>SUM(C11:C48)</f>
        <v/>
      </c>
      <c r="D49" s="21">
        <f>SUM(D11:D48)</f>
        <v/>
      </c>
      <c r="E49" s="20">
        <f>SUM(E11:E48)</f>
        <v/>
      </c>
      <c r="F49" s="19" t="n"/>
      <c r="G49" s="22">
        <f>SUM(G11:G48)</f>
        <v/>
      </c>
      <c r="H49" s="19" t="n"/>
      <c r="I49" s="19" t="n"/>
      <c r="J49" s="19" t="n"/>
      <c r="K49" s="19" t="n"/>
      <c r="L49" s="19" t="n"/>
      <c r="M49" s="20">
        <f>SUM(M11:M48)</f>
        <v/>
      </c>
      <c r="N49" s="19" t="n"/>
      <c r="O49" s="19" t="n"/>
      <c r="P49" s="21">
        <f>SUM(P11:P48)</f>
        <v/>
      </c>
    </row>
    <row r="51">
      <c r="B51" s="10" t="inlineStr">
        <is>
          <t>Bobot Desain = share populasi ÷ share titik. Pakai sebagai weight di SPSS/R. Proporsional murni → ≈1; √N → menyimpang (mengoreksi oversample wilayah kecil).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0" customWidth="1" min="4" max="4"/>
    <col width="12" customWidth="1" min="5" max="5"/>
    <col width="6" customWidth="1" min="7" max="7"/>
    <col width="12" customWidth="1" min="8" max="8"/>
    <col width="9" customWidth="1" min="9" max="9"/>
    <col width="20" customWidth="1" min="10" max="10"/>
    <col width="28" customWidth="1" min="11" max="11"/>
  </cols>
  <sheetData>
    <row r="1">
      <c r="A1" s="1" t="inlineStr">
        <is>
          <t>PPS Sistematik (ilustrasi) — desa diurut, ukuran dikumulatif, titik tiap interval tetap</t>
        </is>
      </c>
    </row>
    <row r="3">
      <c r="A3" s="7" t="inlineStr">
        <is>
          <t>No</t>
        </is>
      </c>
      <c r="B3" s="7" t="inlineStr">
        <is>
          <t>Provinsi</t>
        </is>
      </c>
      <c r="C3" s="7" t="inlineStr">
        <is>
          <t>Desa</t>
        </is>
      </c>
      <c r="D3" s="7" t="inlineStr">
        <is>
          <t>Ukuran</t>
        </is>
      </c>
      <c r="E3" s="7" t="inlineStr">
        <is>
          <t>Kumulatif</t>
        </is>
      </c>
      <c r="G3" s="13" t="inlineStr">
        <is>
          <t>Jumlah titik (n_titik)</t>
        </is>
      </c>
      <c r="H3" s="25">
        <f>Parameter!B8</f>
        <v/>
      </c>
    </row>
    <row r="4">
      <c r="A4" s="6">
        <f>ROW()-3</f>
        <v/>
      </c>
      <c r="B4" s="16">
        <f>MFD!E3</f>
        <v/>
      </c>
      <c r="C4" s="16">
        <f>MFD!H3</f>
        <v/>
      </c>
      <c r="D4" s="9">
        <f>MFD!J3</f>
        <v/>
      </c>
      <c r="E4" s="9">
        <f>D4</f>
        <v/>
      </c>
      <c r="G4" s="13" t="inlineStr">
        <is>
          <t>Total ukuran</t>
        </is>
      </c>
      <c r="H4" s="26">
        <f>E394</f>
        <v/>
      </c>
    </row>
    <row r="5">
      <c r="A5" s="6">
        <f>ROW()-3</f>
        <v/>
      </c>
      <c r="B5" s="16">
        <f>MFD!E4</f>
        <v/>
      </c>
      <c r="C5" s="16">
        <f>MFD!H4</f>
        <v/>
      </c>
      <c r="D5" s="9">
        <f>MFD!J4</f>
        <v/>
      </c>
      <c r="E5" s="9">
        <f>E4+D5</f>
        <v/>
      </c>
      <c r="G5" s="13" t="inlineStr">
        <is>
          <t>Interval I = Total / n_titik</t>
        </is>
      </c>
      <c r="H5" s="26">
        <f>H4/H3</f>
        <v/>
      </c>
    </row>
    <row r="6">
      <c r="A6" s="6">
        <f>ROW()-3</f>
        <v/>
      </c>
      <c r="B6" s="16">
        <f>MFD!E5</f>
        <v/>
      </c>
      <c r="C6" s="16">
        <f>MFD!H5</f>
        <v/>
      </c>
      <c r="D6" s="9">
        <f>MFD!J5</f>
        <v/>
      </c>
      <c r="E6" s="9">
        <f>E5+D6</f>
        <v/>
      </c>
      <c r="G6" s="13" t="inlineStr">
        <is>
          <t>Awalan (start) — input, default I/2</t>
        </is>
      </c>
      <c r="H6" s="27">
        <f>H5/2</f>
        <v/>
      </c>
    </row>
    <row r="7">
      <c r="A7" s="6">
        <f>ROW()-3</f>
        <v/>
      </c>
      <c r="B7" s="16">
        <f>MFD!E6</f>
        <v/>
      </c>
      <c r="C7" s="16">
        <f>MFD!H6</f>
        <v/>
      </c>
      <c r="D7" s="9">
        <f>MFD!J6</f>
        <v/>
      </c>
      <c r="E7" s="9">
        <f>E6+D7</f>
        <v/>
      </c>
    </row>
    <row r="8">
      <c r="A8" s="6">
        <f>ROW()-3</f>
        <v/>
      </c>
      <c r="B8" s="16">
        <f>MFD!E7</f>
        <v/>
      </c>
      <c r="C8" s="16">
        <f>MFD!H7</f>
        <v/>
      </c>
      <c r="D8" s="9">
        <f>MFD!J7</f>
        <v/>
      </c>
      <c r="E8" s="9">
        <f>E7+D8</f>
        <v/>
      </c>
      <c r="G8" s="2" t="inlineStr">
        <is>
          <t>Titik sistematik terpilih (p_k = start + k·I)</t>
        </is>
      </c>
    </row>
    <row r="9">
      <c r="A9" s="6">
        <f>ROW()-3</f>
        <v/>
      </c>
      <c r="B9" s="16">
        <f>MFD!E8</f>
        <v/>
      </c>
      <c r="C9" s="16">
        <f>MFD!H8</f>
        <v/>
      </c>
      <c r="D9" s="9">
        <f>MFD!J8</f>
        <v/>
      </c>
      <c r="E9" s="9">
        <f>E8+D9</f>
        <v/>
      </c>
      <c r="G9" s="7" t="inlineStr">
        <is>
          <t>k</t>
        </is>
      </c>
      <c r="H9" s="7" t="inlineStr">
        <is>
          <t>p_k</t>
        </is>
      </c>
      <c r="I9" s="7" t="inlineStr">
        <is>
          <t>Idx Desa</t>
        </is>
      </c>
      <c r="J9" s="7" t="inlineStr">
        <is>
          <t>Provinsi</t>
        </is>
      </c>
      <c r="K9" s="7" t="inlineStr">
        <is>
          <t>Desa Terpilih</t>
        </is>
      </c>
    </row>
    <row r="10">
      <c r="A10" s="6">
        <f>ROW()-3</f>
        <v/>
      </c>
      <c r="B10" s="16">
        <f>MFD!E9</f>
        <v/>
      </c>
      <c r="C10" s="16">
        <f>MFD!H9</f>
        <v/>
      </c>
      <c r="D10" s="9">
        <f>MFD!J9</f>
        <v/>
      </c>
      <c r="E10" s="9">
        <f>E9+D10</f>
        <v/>
      </c>
      <c r="G10" s="6" t="n">
        <v>0</v>
      </c>
      <c r="H10" s="28">
        <f>IF(0&lt;$H$3,$H$6+0*$H$5,"")</f>
        <v/>
      </c>
      <c r="I10" s="6">
        <f>IF(H10="","",MIN(391,MATCH(H10,$E$4:$E$394,1)+1))</f>
        <v/>
      </c>
      <c r="J10" s="29">
        <f>IF(I10="","",INDEX($B$4:$B$394,I10))</f>
        <v/>
      </c>
      <c r="K10" s="29">
        <f>IF(I10="","",INDEX($C$4:$C$394,I10))</f>
        <v/>
      </c>
    </row>
    <row r="11">
      <c r="A11" s="6">
        <f>ROW()-3</f>
        <v/>
      </c>
      <c r="B11" s="16">
        <f>MFD!E10</f>
        <v/>
      </c>
      <c r="C11" s="16">
        <f>MFD!H10</f>
        <v/>
      </c>
      <c r="D11" s="9">
        <f>MFD!J10</f>
        <v/>
      </c>
      <c r="E11" s="9">
        <f>E10+D11</f>
        <v/>
      </c>
      <c r="G11" s="6" t="n">
        <v>1</v>
      </c>
      <c r="H11" s="28">
        <f>IF(1&lt;$H$3,$H$6+1*$H$5,"")</f>
        <v/>
      </c>
      <c r="I11" s="6">
        <f>IF(H11="","",MIN(391,MATCH(H11,$E$4:$E$394,1)+1))</f>
        <v/>
      </c>
      <c r="J11" s="29">
        <f>IF(I11="","",INDEX($B$4:$B$394,I11))</f>
        <v/>
      </c>
      <c r="K11" s="29">
        <f>IF(I11="","",INDEX($C$4:$C$394,I11))</f>
        <v/>
      </c>
    </row>
    <row r="12">
      <c r="A12" s="6">
        <f>ROW()-3</f>
        <v/>
      </c>
      <c r="B12" s="16">
        <f>MFD!E11</f>
        <v/>
      </c>
      <c r="C12" s="16">
        <f>MFD!H11</f>
        <v/>
      </c>
      <c r="D12" s="9">
        <f>MFD!J11</f>
        <v/>
      </c>
      <c r="E12" s="9">
        <f>E11+D12</f>
        <v/>
      </c>
      <c r="G12" s="6" t="n">
        <v>2</v>
      </c>
      <c r="H12" s="28">
        <f>IF(2&lt;$H$3,$H$6+2*$H$5,"")</f>
        <v/>
      </c>
      <c r="I12" s="6">
        <f>IF(H12="","",MIN(391,MATCH(H12,$E$4:$E$394,1)+1))</f>
        <v/>
      </c>
      <c r="J12" s="29">
        <f>IF(I12="","",INDEX($B$4:$B$394,I12))</f>
        <v/>
      </c>
      <c r="K12" s="29">
        <f>IF(I12="","",INDEX($C$4:$C$394,I12))</f>
        <v/>
      </c>
    </row>
    <row r="13">
      <c r="A13" s="6">
        <f>ROW()-3</f>
        <v/>
      </c>
      <c r="B13" s="16">
        <f>MFD!E12</f>
        <v/>
      </c>
      <c r="C13" s="16">
        <f>MFD!H12</f>
        <v/>
      </c>
      <c r="D13" s="9">
        <f>MFD!J12</f>
        <v/>
      </c>
      <c r="E13" s="9">
        <f>E12+D13</f>
        <v/>
      </c>
      <c r="G13" s="6" t="n">
        <v>3</v>
      </c>
      <c r="H13" s="28">
        <f>IF(3&lt;$H$3,$H$6+3*$H$5,"")</f>
        <v/>
      </c>
      <c r="I13" s="6">
        <f>IF(H13="","",MIN(391,MATCH(H13,$E$4:$E$394,1)+1))</f>
        <v/>
      </c>
      <c r="J13" s="29">
        <f>IF(I13="","",INDEX($B$4:$B$394,I13))</f>
        <v/>
      </c>
      <c r="K13" s="29">
        <f>IF(I13="","",INDEX($C$4:$C$394,I13))</f>
        <v/>
      </c>
    </row>
    <row r="14">
      <c r="A14" s="6">
        <f>ROW()-3</f>
        <v/>
      </c>
      <c r="B14" s="16">
        <f>MFD!E13</f>
        <v/>
      </c>
      <c r="C14" s="16">
        <f>MFD!H13</f>
        <v/>
      </c>
      <c r="D14" s="9">
        <f>MFD!J13</f>
        <v/>
      </c>
      <c r="E14" s="9">
        <f>E13+D14</f>
        <v/>
      </c>
      <c r="G14" s="6" t="n">
        <v>4</v>
      </c>
      <c r="H14" s="28">
        <f>IF(4&lt;$H$3,$H$6+4*$H$5,"")</f>
        <v/>
      </c>
      <c r="I14" s="6">
        <f>IF(H14="","",MIN(391,MATCH(H14,$E$4:$E$394,1)+1))</f>
        <v/>
      </c>
      <c r="J14" s="29">
        <f>IF(I14="","",INDEX($B$4:$B$394,I14))</f>
        <v/>
      </c>
      <c r="K14" s="29">
        <f>IF(I14="","",INDEX($C$4:$C$394,I14))</f>
        <v/>
      </c>
    </row>
    <row r="15">
      <c r="A15" s="6">
        <f>ROW()-3</f>
        <v/>
      </c>
      <c r="B15" s="16">
        <f>MFD!E14</f>
        <v/>
      </c>
      <c r="C15" s="16">
        <f>MFD!H14</f>
        <v/>
      </c>
      <c r="D15" s="9">
        <f>MFD!J14</f>
        <v/>
      </c>
      <c r="E15" s="9">
        <f>E14+D15</f>
        <v/>
      </c>
      <c r="G15" s="6" t="n">
        <v>5</v>
      </c>
      <c r="H15" s="28">
        <f>IF(5&lt;$H$3,$H$6+5*$H$5,"")</f>
        <v/>
      </c>
      <c r="I15" s="6">
        <f>IF(H15="","",MIN(391,MATCH(H15,$E$4:$E$394,1)+1))</f>
        <v/>
      </c>
      <c r="J15" s="29">
        <f>IF(I15="","",INDEX($B$4:$B$394,I15))</f>
        <v/>
      </c>
      <c r="K15" s="29">
        <f>IF(I15="","",INDEX($C$4:$C$394,I15))</f>
        <v/>
      </c>
    </row>
    <row r="16">
      <c r="A16" s="6">
        <f>ROW()-3</f>
        <v/>
      </c>
      <c r="B16" s="16">
        <f>MFD!E15</f>
        <v/>
      </c>
      <c r="C16" s="16">
        <f>MFD!H15</f>
        <v/>
      </c>
      <c r="D16" s="9">
        <f>MFD!J15</f>
        <v/>
      </c>
      <c r="E16" s="9">
        <f>E15+D16</f>
        <v/>
      </c>
      <c r="G16" s="6" t="n">
        <v>6</v>
      </c>
      <c r="H16" s="28">
        <f>IF(6&lt;$H$3,$H$6+6*$H$5,"")</f>
        <v/>
      </c>
      <c r="I16" s="6">
        <f>IF(H16="","",MIN(391,MATCH(H16,$E$4:$E$394,1)+1))</f>
        <v/>
      </c>
      <c r="J16" s="29">
        <f>IF(I16="","",INDEX($B$4:$B$394,I16))</f>
        <v/>
      </c>
      <c r="K16" s="29">
        <f>IF(I16="","",INDEX($C$4:$C$394,I16))</f>
        <v/>
      </c>
    </row>
    <row r="17">
      <c r="A17" s="6">
        <f>ROW()-3</f>
        <v/>
      </c>
      <c r="B17" s="16">
        <f>MFD!E16</f>
        <v/>
      </c>
      <c r="C17" s="16">
        <f>MFD!H16</f>
        <v/>
      </c>
      <c r="D17" s="9">
        <f>MFD!J16</f>
        <v/>
      </c>
      <c r="E17" s="9">
        <f>E16+D17</f>
        <v/>
      </c>
      <c r="G17" s="6" t="n">
        <v>7</v>
      </c>
      <c r="H17" s="28">
        <f>IF(7&lt;$H$3,$H$6+7*$H$5,"")</f>
        <v/>
      </c>
      <c r="I17" s="6">
        <f>IF(H17="","",MIN(391,MATCH(H17,$E$4:$E$394,1)+1))</f>
        <v/>
      </c>
      <c r="J17" s="29">
        <f>IF(I17="","",INDEX($B$4:$B$394,I17))</f>
        <v/>
      </c>
      <c r="K17" s="29">
        <f>IF(I17="","",INDEX($C$4:$C$394,I17))</f>
        <v/>
      </c>
    </row>
    <row r="18">
      <c r="A18" s="6">
        <f>ROW()-3</f>
        <v/>
      </c>
      <c r="B18" s="16">
        <f>MFD!E17</f>
        <v/>
      </c>
      <c r="C18" s="16">
        <f>MFD!H17</f>
        <v/>
      </c>
      <c r="D18" s="9">
        <f>MFD!J17</f>
        <v/>
      </c>
      <c r="E18" s="9">
        <f>E17+D18</f>
        <v/>
      </c>
      <c r="G18" s="6" t="n">
        <v>8</v>
      </c>
      <c r="H18" s="28">
        <f>IF(8&lt;$H$3,$H$6+8*$H$5,"")</f>
        <v/>
      </c>
      <c r="I18" s="6">
        <f>IF(H18="","",MIN(391,MATCH(H18,$E$4:$E$394,1)+1))</f>
        <v/>
      </c>
      <c r="J18" s="29">
        <f>IF(I18="","",INDEX($B$4:$B$394,I18))</f>
        <v/>
      </c>
      <c r="K18" s="29">
        <f>IF(I18="","",INDEX($C$4:$C$394,I18))</f>
        <v/>
      </c>
    </row>
    <row r="19">
      <c r="A19" s="6">
        <f>ROW()-3</f>
        <v/>
      </c>
      <c r="B19" s="16">
        <f>MFD!E18</f>
        <v/>
      </c>
      <c r="C19" s="16">
        <f>MFD!H18</f>
        <v/>
      </c>
      <c r="D19" s="9">
        <f>MFD!J18</f>
        <v/>
      </c>
      <c r="E19" s="9">
        <f>E18+D19</f>
        <v/>
      </c>
      <c r="G19" s="6" t="n">
        <v>9</v>
      </c>
      <c r="H19" s="28">
        <f>IF(9&lt;$H$3,$H$6+9*$H$5,"")</f>
        <v/>
      </c>
      <c r="I19" s="6">
        <f>IF(H19="","",MIN(391,MATCH(H19,$E$4:$E$394,1)+1))</f>
        <v/>
      </c>
      <c r="J19" s="29">
        <f>IF(I19="","",INDEX($B$4:$B$394,I19))</f>
        <v/>
      </c>
      <c r="K19" s="29">
        <f>IF(I19="","",INDEX($C$4:$C$394,I19))</f>
        <v/>
      </c>
    </row>
    <row r="20">
      <c r="A20" s="6">
        <f>ROW()-3</f>
        <v/>
      </c>
      <c r="B20" s="16">
        <f>MFD!E19</f>
        <v/>
      </c>
      <c r="C20" s="16">
        <f>MFD!H19</f>
        <v/>
      </c>
      <c r="D20" s="9">
        <f>MFD!J19</f>
        <v/>
      </c>
      <c r="E20" s="9">
        <f>E19+D20</f>
        <v/>
      </c>
      <c r="G20" s="6" t="n">
        <v>10</v>
      </c>
      <c r="H20" s="28">
        <f>IF(10&lt;$H$3,$H$6+10*$H$5,"")</f>
        <v/>
      </c>
      <c r="I20" s="6">
        <f>IF(H20="","",MIN(391,MATCH(H20,$E$4:$E$394,1)+1))</f>
        <v/>
      </c>
      <c r="J20" s="29">
        <f>IF(I20="","",INDEX($B$4:$B$394,I20))</f>
        <v/>
      </c>
      <c r="K20" s="29">
        <f>IF(I20="","",INDEX($C$4:$C$394,I20))</f>
        <v/>
      </c>
    </row>
    <row r="21">
      <c r="A21" s="6">
        <f>ROW()-3</f>
        <v/>
      </c>
      <c r="B21" s="16">
        <f>MFD!E20</f>
        <v/>
      </c>
      <c r="C21" s="16">
        <f>MFD!H20</f>
        <v/>
      </c>
      <c r="D21" s="9">
        <f>MFD!J20</f>
        <v/>
      </c>
      <c r="E21" s="9">
        <f>E20+D21</f>
        <v/>
      </c>
      <c r="G21" s="6" t="n">
        <v>11</v>
      </c>
      <c r="H21" s="28">
        <f>IF(11&lt;$H$3,$H$6+11*$H$5,"")</f>
        <v/>
      </c>
      <c r="I21" s="6">
        <f>IF(H21="","",MIN(391,MATCH(H21,$E$4:$E$394,1)+1))</f>
        <v/>
      </c>
      <c r="J21" s="29">
        <f>IF(I21="","",INDEX($B$4:$B$394,I21))</f>
        <v/>
      </c>
      <c r="K21" s="29">
        <f>IF(I21="","",INDEX($C$4:$C$394,I21))</f>
        <v/>
      </c>
    </row>
    <row r="22">
      <c r="A22" s="6">
        <f>ROW()-3</f>
        <v/>
      </c>
      <c r="B22" s="16">
        <f>MFD!E21</f>
        <v/>
      </c>
      <c r="C22" s="16">
        <f>MFD!H21</f>
        <v/>
      </c>
      <c r="D22" s="9">
        <f>MFD!J21</f>
        <v/>
      </c>
      <c r="E22" s="9">
        <f>E21+D22</f>
        <v/>
      </c>
      <c r="G22" s="6" t="n">
        <v>12</v>
      </c>
      <c r="H22" s="28">
        <f>IF(12&lt;$H$3,$H$6+12*$H$5,"")</f>
        <v/>
      </c>
      <c r="I22" s="6">
        <f>IF(H22="","",MIN(391,MATCH(H22,$E$4:$E$394,1)+1))</f>
        <v/>
      </c>
      <c r="J22" s="29">
        <f>IF(I22="","",INDEX($B$4:$B$394,I22))</f>
        <v/>
      </c>
      <c r="K22" s="29">
        <f>IF(I22="","",INDEX($C$4:$C$394,I22))</f>
        <v/>
      </c>
    </row>
    <row r="23">
      <c r="A23" s="6">
        <f>ROW()-3</f>
        <v/>
      </c>
      <c r="B23" s="16">
        <f>MFD!E22</f>
        <v/>
      </c>
      <c r="C23" s="16">
        <f>MFD!H22</f>
        <v/>
      </c>
      <c r="D23" s="9">
        <f>MFD!J22</f>
        <v/>
      </c>
      <c r="E23" s="9">
        <f>E22+D23</f>
        <v/>
      </c>
      <c r="G23" s="6" t="n">
        <v>13</v>
      </c>
      <c r="H23" s="28">
        <f>IF(13&lt;$H$3,$H$6+13*$H$5,"")</f>
        <v/>
      </c>
      <c r="I23" s="6">
        <f>IF(H23="","",MIN(391,MATCH(H23,$E$4:$E$394,1)+1))</f>
        <v/>
      </c>
      <c r="J23" s="29">
        <f>IF(I23="","",INDEX($B$4:$B$394,I23))</f>
        <v/>
      </c>
      <c r="K23" s="29">
        <f>IF(I23="","",INDEX($C$4:$C$394,I23))</f>
        <v/>
      </c>
    </row>
    <row r="24">
      <c r="A24" s="6">
        <f>ROW()-3</f>
        <v/>
      </c>
      <c r="B24" s="16">
        <f>MFD!E23</f>
        <v/>
      </c>
      <c r="C24" s="16">
        <f>MFD!H23</f>
        <v/>
      </c>
      <c r="D24" s="9">
        <f>MFD!J23</f>
        <v/>
      </c>
      <c r="E24" s="9">
        <f>E23+D24</f>
        <v/>
      </c>
      <c r="G24" s="6" t="n">
        <v>14</v>
      </c>
      <c r="H24" s="28">
        <f>IF(14&lt;$H$3,$H$6+14*$H$5,"")</f>
        <v/>
      </c>
      <c r="I24" s="6">
        <f>IF(H24="","",MIN(391,MATCH(H24,$E$4:$E$394,1)+1))</f>
        <v/>
      </c>
      <c r="J24" s="29">
        <f>IF(I24="","",INDEX($B$4:$B$394,I24))</f>
        <v/>
      </c>
      <c r="K24" s="29">
        <f>IF(I24="","",INDEX($C$4:$C$394,I24))</f>
        <v/>
      </c>
    </row>
    <row r="25">
      <c r="A25" s="6">
        <f>ROW()-3</f>
        <v/>
      </c>
      <c r="B25" s="16">
        <f>MFD!E24</f>
        <v/>
      </c>
      <c r="C25" s="16">
        <f>MFD!H24</f>
        <v/>
      </c>
      <c r="D25" s="9">
        <f>MFD!J24</f>
        <v/>
      </c>
      <c r="E25" s="9">
        <f>E24+D25</f>
        <v/>
      </c>
      <c r="G25" s="6" t="n">
        <v>15</v>
      </c>
      <c r="H25" s="28">
        <f>IF(15&lt;$H$3,$H$6+15*$H$5,"")</f>
        <v/>
      </c>
      <c r="I25" s="6">
        <f>IF(H25="","",MIN(391,MATCH(H25,$E$4:$E$394,1)+1))</f>
        <v/>
      </c>
      <c r="J25" s="29">
        <f>IF(I25="","",INDEX($B$4:$B$394,I25))</f>
        <v/>
      </c>
      <c r="K25" s="29">
        <f>IF(I25="","",INDEX($C$4:$C$394,I25))</f>
        <v/>
      </c>
    </row>
    <row r="26">
      <c r="A26" s="6">
        <f>ROW()-3</f>
        <v/>
      </c>
      <c r="B26" s="16">
        <f>MFD!E25</f>
        <v/>
      </c>
      <c r="C26" s="16">
        <f>MFD!H25</f>
        <v/>
      </c>
      <c r="D26" s="9">
        <f>MFD!J25</f>
        <v/>
      </c>
      <c r="E26" s="9">
        <f>E25+D26</f>
        <v/>
      </c>
      <c r="G26" s="6" t="n">
        <v>16</v>
      </c>
      <c r="H26" s="28">
        <f>IF(16&lt;$H$3,$H$6+16*$H$5,"")</f>
        <v/>
      </c>
      <c r="I26" s="6">
        <f>IF(H26="","",MIN(391,MATCH(H26,$E$4:$E$394,1)+1))</f>
        <v/>
      </c>
      <c r="J26" s="29">
        <f>IF(I26="","",INDEX($B$4:$B$394,I26))</f>
        <v/>
      </c>
      <c r="K26" s="29">
        <f>IF(I26="","",INDEX($C$4:$C$394,I26))</f>
        <v/>
      </c>
    </row>
    <row r="27">
      <c r="A27" s="6">
        <f>ROW()-3</f>
        <v/>
      </c>
      <c r="B27" s="16">
        <f>MFD!E26</f>
        <v/>
      </c>
      <c r="C27" s="16">
        <f>MFD!H26</f>
        <v/>
      </c>
      <c r="D27" s="9">
        <f>MFD!J26</f>
        <v/>
      </c>
      <c r="E27" s="9">
        <f>E26+D27</f>
        <v/>
      </c>
      <c r="G27" s="6" t="n">
        <v>17</v>
      </c>
      <c r="H27" s="28">
        <f>IF(17&lt;$H$3,$H$6+17*$H$5,"")</f>
        <v/>
      </c>
      <c r="I27" s="6">
        <f>IF(H27="","",MIN(391,MATCH(H27,$E$4:$E$394,1)+1))</f>
        <v/>
      </c>
      <c r="J27" s="29">
        <f>IF(I27="","",INDEX($B$4:$B$394,I27))</f>
        <v/>
      </c>
      <c r="K27" s="29">
        <f>IF(I27="","",INDEX($C$4:$C$394,I27))</f>
        <v/>
      </c>
    </row>
    <row r="28">
      <c r="A28" s="6">
        <f>ROW()-3</f>
        <v/>
      </c>
      <c r="B28" s="16">
        <f>MFD!E27</f>
        <v/>
      </c>
      <c r="C28" s="16">
        <f>MFD!H27</f>
        <v/>
      </c>
      <c r="D28" s="9">
        <f>MFD!J27</f>
        <v/>
      </c>
      <c r="E28" s="9">
        <f>E27+D28</f>
        <v/>
      </c>
      <c r="G28" s="6" t="n">
        <v>18</v>
      </c>
      <c r="H28" s="28">
        <f>IF(18&lt;$H$3,$H$6+18*$H$5,"")</f>
        <v/>
      </c>
      <c r="I28" s="6">
        <f>IF(H28="","",MIN(391,MATCH(H28,$E$4:$E$394,1)+1))</f>
        <v/>
      </c>
      <c r="J28" s="29">
        <f>IF(I28="","",INDEX($B$4:$B$394,I28))</f>
        <v/>
      </c>
      <c r="K28" s="29">
        <f>IF(I28="","",INDEX($C$4:$C$394,I28))</f>
        <v/>
      </c>
    </row>
    <row r="29">
      <c r="A29" s="6">
        <f>ROW()-3</f>
        <v/>
      </c>
      <c r="B29" s="16">
        <f>MFD!E28</f>
        <v/>
      </c>
      <c r="C29" s="16">
        <f>MFD!H28</f>
        <v/>
      </c>
      <c r="D29" s="9">
        <f>MFD!J28</f>
        <v/>
      </c>
      <c r="E29" s="9">
        <f>E28+D29</f>
        <v/>
      </c>
      <c r="G29" s="6" t="n">
        <v>19</v>
      </c>
      <c r="H29" s="28">
        <f>IF(19&lt;$H$3,$H$6+19*$H$5,"")</f>
        <v/>
      </c>
      <c r="I29" s="6">
        <f>IF(H29="","",MIN(391,MATCH(H29,$E$4:$E$394,1)+1))</f>
        <v/>
      </c>
      <c r="J29" s="29">
        <f>IF(I29="","",INDEX($B$4:$B$394,I29))</f>
        <v/>
      </c>
      <c r="K29" s="29">
        <f>IF(I29="","",INDEX($C$4:$C$394,I29))</f>
        <v/>
      </c>
    </row>
    <row r="30">
      <c r="A30" s="6">
        <f>ROW()-3</f>
        <v/>
      </c>
      <c r="B30" s="16">
        <f>MFD!E29</f>
        <v/>
      </c>
      <c r="C30" s="16">
        <f>MFD!H29</f>
        <v/>
      </c>
      <c r="D30" s="9">
        <f>MFD!J29</f>
        <v/>
      </c>
      <c r="E30" s="9">
        <f>E29+D30</f>
        <v/>
      </c>
      <c r="G30" s="6" t="n">
        <v>20</v>
      </c>
      <c r="H30" s="28">
        <f>IF(20&lt;$H$3,$H$6+20*$H$5,"")</f>
        <v/>
      </c>
      <c r="I30" s="6">
        <f>IF(H30="","",MIN(391,MATCH(H30,$E$4:$E$394,1)+1))</f>
        <v/>
      </c>
      <c r="J30" s="29">
        <f>IF(I30="","",INDEX($B$4:$B$394,I30))</f>
        <v/>
      </c>
      <c r="K30" s="29">
        <f>IF(I30="","",INDEX($C$4:$C$394,I30))</f>
        <v/>
      </c>
    </row>
    <row r="31">
      <c r="A31" s="6">
        <f>ROW()-3</f>
        <v/>
      </c>
      <c r="B31" s="16">
        <f>MFD!E30</f>
        <v/>
      </c>
      <c r="C31" s="16">
        <f>MFD!H30</f>
        <v/>
      </c>
      <c r="D31" s="9">
        <f>MFD!J30</f>
        <v/>
      </c>
      <c r="E31" s="9">
        <f>E30+D31</f>
        <v/>
      </c>
      <c r="G31" s="6" t="n">
        <v>21</v>
      </c>
      <c r="H31" s="28">
        <f>IF(21&lt;$H$3,$H$6+21*$H$5,"")</f>
        <v/>
      </c>
      <c r="I31" s="6">
        <f>IF(H31="","",MIN(391,MATCH(H31,$E$4:$E$394,1)+1))</f>
        <v/>
      </c>
      <c r="J31" s="29">
        <f>IF(I31="","",INDEX($B$4:$B$394,I31))</f>
        <v/>
      </c>
      <c r="K31" s="29">
        <f>IF(I31="","",INDEX($C$4:$C$394,I31))</f>
        <v/>
      </c>
    </row>
    <row r="32">
      <c r="A32" s="6">
        <f>ROW()-3</f>
        <v/>
      </c>
      <c r="B32" s="16">
        <f>MFD!E31</f>
        <v/>
      </c>
      <c r="C32" s="16">
        <f>MFD!H31</f>
        <v/>
      </c>
      <c r="D32" s="9">
        <f>MFD!J31</f>
        <v/>
      </c>
      <c r="E32" s="9">
        <f>E31+D32</f>
        <v/>
      </c>
      <c r="G32" s="6" t="n">
        <v>22</v>
      </c>
      <c r="H32" s="28">
        <f>IF(22&lt;$H$3,$H$6+22*$H$5,"")</f>
        <v/>
      </c>
      <c r="I32" s="6">
        <f>IF(H32="","",MIN(391,MATCH(H32,$E$4:$E$394,1)+1))</f>
        <v/>
      </c>
      <c r="J32" s="29">
        <f>IF(I32="","",INDEX($B$4:$B$394,I32))</f>
        <v/>
      </c>
      <c r="K32" s="29">
        <f>IF(I32="","",INDEX($C$4:$C$394,I32))</f>
        <v/>
      </c>
    </row>
    <row r="33">
      <c r="A33" s="6">
        <f>ROW()-3</f>
        <v/>
      </c>
      <c r="B33" s="16">
        <f>MFD!E32</f>
        <v/>
      </c>
      <c r="C33" s="16">
        <f>MFD!H32</f>
        <v/>
      </c>
      <c r="D33" s="9">
        <f>MFD!J32</f>
        <v/>
      </c>
      <c r="E33" s="9">
        <f>E32+D33</f>
        <v/>
      </c>
      <c r="G33" s="6" t="n">
        <v>23</v>
      </c>
      <c r="H33" s="28">
        <f>IF(23&lt;$H$3,$H$6+23*$H$5,"")</f>
        <v/>
      </c>
      <c r="I33" s="6">
        <f>IF(H33="","",MIN(391,MATCH(H33,$E$4:$E$394,1)+1))</f>
        <v/>
      </c>
      <c r="J33" s="29">
        <f>IF(I33="","",INDEX($B$4:$B$394,I33))</f>
        <v/>
      </c>
      <c r="K33" s="29">
        <f>IF(I33="","",INDEX($C$4:$C$394,I33))</f>
        <v/>
      </c>
    </row>
    <row r="34">
      <c r="A34" s="6">
        <f>ROW()-3</f>
        <v/>
      </c>
      <c r="B34" s="16">
        <f>MFD!E33</f>
        <v/>
      </c>
      <c r="C34" s="16">
        <f>MFD!H33</f>
        <v/>
      </c>
      <c r="D34" s="9">
        <f>MFD!J33</f>
        <v/>
      </c>
      <c r="E34" s="9">
        <f>E33+D34</f>
        <v/>
      </c>
      <c r="G34" s="6" t="n">
        <v>24</v>
      </c>
      <c r="H34" s="28">
        <f>IF(24&lt;$H$3,$H$6+24*$H$5,"")</f>
        <v/>
      </c>
      <c r="I34" s="6">
        <f>IF(H34="","",MIN(391,MATCH(H34,$E$4:$E$394,1)+1))</f>
        <v/>
      </c>
      <c r="J34" s="29">
        <f>IF(I34="","",INDEX($B$4:$B$394,I34))</f>
        <v/>
      </c>
      <c r="K34" s="29">
        <f>IF(I34="","",INDEX($C$4:$C$394,I34))</f>
        <v/>
      </c>
    </row>
    <row r="35">
      <c r="A35" s="6">
        <f>ROW()-3</f>
        <v/>
      </c>
      <c r="B35" s="16">
        <f>MFD!E34</f>
        <v/>
      </c>
      <c r="C35" s="16">
        <f>MFD!H34</f>
        <v/>
      </c>
      <c r="D35" s="9">
        <f>MFD!J34</f>
        <v/>
      </c>
      <c r="E35" s="9">
        <f>E34+D35</f>
        <v/>
      </c>
      <c r="G35" s="6" t="n">
        <v>25</v>
      </c>
      <c r="H35" s="28">
        <f>IF(25&lt;$H$3,$H$6+25*$H$5,"")</f>
        <v/>
      </c>
      <c r="I35" s="6">
        <f>IF(H35="","",MIN(391,MATCH(H35,$E$4:$E$394,1)+1))</f>
        <v/>
      </c>
      <c r="J35" s="29">
        <f>IF(I35="","",INDEX($B$4:$B$394,I35))</f>
        <v/>
      </c>
      <c r="K35" s="29">
        <f>IF(I35="","",INDEX($C$4:$C$394,I35))</f>
        <v/>
      </c>
    </row>
    <row r="36">
      <c r="A36" s="6">
        <f>ROW()-3</f>
        <v/>
      </c>
      <c r="B36" s="16">
        <f>MFD!E35</f>
        <v/>
      </c>
      <c r="C36" s="16">
        <f>MFD!H35</f>
        <v/>
      </c>
      <c r="D36" s="9">
        <f>MFD!J35</f>
        <v/>
      </c>
      <c r="E36" s="9">
        <f>E35+D36</f>
        <v/>
      </c>
      <c r="G36" s="6" t="n">
        <v>26</v>
      </c>
      <c r="H36" s="28">
        <f>IF(26&lt;$H$3,$H$6+26*$H$5,"")</f>
        <v/>
      </c>
      <c r="I36" s="6">
        <f>IF(H36="","",MIN(391,MATCH(H36,$E$4:$E$394,1)+1))</f>
        <v/>
      </c>
      <c r="J36" s="29">
        <f>IF(I36="","",INDEX($B$4:$B$394,I36))</f>
        <v/>
      </c>
      <c r="K36" s="29">
        <f>IF(I36="","",INDEX($C$4:$C$394,I36))</f>
        <v/>
      </c>
    </row>
    <row r="37">
      <c r="A37" s="6">
        <f>ROW()-3</f>
        <v/>
      </c>
      <c r="B37" s="16">
        <f>MFD!E36</f>
        <v/>
      </c>
      <c r="C37" s="16">
        <f>MFD!H36</f>
        <v/>
      </c>
      <c r="D37" s="9">
        <f>MFD!J36</f>
        <v/>
      </c>
      <c r="E37" s="9">
        <f>E36+D37</f>
        <v/>
      </c>
      <c r="G37" s="6" t="n">
        <v>27</v>
      </c>
      <c r="H37" s="28">
        <f>IF(27&lt;$H$3,$H$6+27*$H$5,"")</f>
        <v/>
      </c>
      <c r="I37" s="6">
        <f>IF(H37="","",MIN(391,MATCH(H37,$E$4:$E$394,1)+1))</f>
        <v/>
      </c>
      <c r="J37" s="29">
        <f>IF(I37="","",INDEX($B$4:$B$394,I37))</f>
        <v/>
      </c>
      <c r="K37" s="29">
        <f>IF(I37="","",INDEX($C$4:$C$394,I37))</f>
        <v/>
      </c>
    </row>
    <row r="38">
      <c r="A38" s="6">
        <f>ROW()-3</f>
        <v/>
      </c>
      <c r="B38" s="16">
        <f>MFD!E37</f>
        <v/>
      </c>
      <c r="C38" s="16">
        <f>MFD!H37</f>
        <v/>
      </c>
      <c r="D38" s="9">
        <f>MFD!J37</f>
        <v/>
      </c>
      <c r="E38" s="9">
        <f>E37+D38</f>
        <v/>
      </c>
      <c r="G38" s="6" t="n">
        <v>28</v>
      </c>
      <c r="H38" s="28">
        <f>IF(28&lt;$H$3,$H$6+28*$H$5,"")</f>
        <v/>
      </c>
      <c r="I38" s="6">
        <f>IF(H38="","",MIN(391,MATCH(H38,$E$4:$E$394,1)+1))</f>
        <v/>
      </c>
      <c r="J38" s="29">
        <f>IF(I38="","",INDEX($B$4:$B$394,I38))</f>
        <v/>
      </c>
      <c r="K38" s="29">
        <f>IF(I38="","",INDEX($C$4:$C$394,I38))</f>
        <v/>
      </c>
    </row>
    <row r="39">
      <c r="A39" s="6">
        <f>ROW()-3</f>
        <v/>
      </c>
      <c r="B39" s="16">
        <f>MFD!E38</f>
        <v/>
      </c>
      <c r="C39" s="16">
        <f>MFD!H38</f>
        <v/>
      </c>
      <c r="D39" s="9">
        <f>MFD!J38</f>
        <v/>
      </c>
      <c r="E39" s="9">
        <f>E38+D39</f>
        <v/>
      </c>
      <c r="G39" s="6" t="n">
        <v>29</v>
      </c>
      <c r="H39" s="28">
        <f>IF(29&lt;$H$3,$H$6+29*$H$5,"")</f>
        <v/>
      </c>
      <c r="I39" s="6">
        <f>IF(H39="","",MIN(391,MATCH(H39,$E$4:$E$394,1)+1))</f>
        <v/>
      </c>
      <c r="J39" s="29">
        <f>IF(I39="","",INDEX($B$4:$B$394,I39))</f>
        <v/>
      </c>
      <c r="K39" s="29">
        <f>IF(I39="","",INDEX($C$4:$C$394,I39))</f>
        <v/>
      </c>
    </row>
    <row r="40">
      <c r="A40" s="6">
        <f>ROW()-3</f>
        <v/>
      </c>
      <c r="B40" s="16">
        <f>MFD!E39</f>
        <v/>
      </c>
      <c r="C40" s="16">
        <f>MFD!H39</f>
        <v/>
      </c>
      <c r="D40" s="9">
        <f>MFD!J39</f>
        <v/>
      </c>
      <c r="E40" s="9">
        <f>E39+D40</f>
        <v/>
      </c>
      <c r="G40" s="6" t="n">
        <v>30</v>
      </c>
      <c r="H40" s="28">
        <f>IF(30&lt;$H$3,$H$6+30*$H$5,"")</f>
        <v/>
      </c>
      <c r="I40" s="6">
        <f>IF(H40="","",MIN(391,MATCH(H40,$E$4:$E$394,1)+1))</f>
        <v/>
      </c>
      <c r="J40" s="29">
        <f>IF(I40="","",INDEX($B$4:$B$394,I40))</f>
        <v/>
      </c>
      <c r="K40" s="29">
        <f>IF(I40="","",INDEX($C$4:$C$394,I40))</f>
        <v/>
      </c>
    </row>
    <row r="41">
      <c r="A41" s="6">
        <f>ROW()-3</f>
        <v/>
      </c>
      <c r="B41" s="16">
        <f>MFD!E40</f>
        <v/>
      </c>
      <c r="C41" s="16">
        <f>MFD!H40</f>
        <v/>
      </c>
      <c r="D41" s="9">
        <f>MFD!J40</f>
        <v/>
      </c>
      <c r="E41" s="9">
        <f>E40+D41</f>
        <v/>
      </c>
      <c r="G41" s="6" t="n">
        <v>31</v>
      </c>
      <c r="H41" s="28">
        <f>IF(31&lt;$H$3,$H$6+31*$H$5,"")</f>
        <v/>
      </c>
      <c r="I41" s="6">
        <f>IF(H41="","",MIN(391,MATCH(H41,$E$4:$E$394,1)+1))</f>
        <v/>
      </c>
      <c r="J41" s="29">
        <f>IF(I41="","",INDEX($B$4:$B$394,I41))</f>
        <v/>
      </c>
      <c r="K41" s="29">
        <f>IF(I41="","",INDEX($C$4:$C$394,I41))</f>
        <v/>
      </c>
    </row>
    <row r="42">
      <c r="A42" s="6">
        <f>ROW()-3</f>
        <v/>
      </c>
      <c r="B42" s="16">
        <f>MFD!E41</f>
        <v/>
      </c>
      <c r="C42" s="16">
        <f>MFD!H41</f>
        <v/>
      </c>
      <c r="D42" s="9">
        <f>MFD!J41</f>
        <v/>
      </c>
      <c r="E42" s="9">
        <f>E41+D42</f>
        <v/>
      </c>
      <c r="G42" s="6" t="n">
        <v>32</v>
      </c>
      <c r="H42" s="28">
        <f>IF(32&lt;$H$3,$H$6+32*$H$5,"")</f>
        <v/>
      </c>
      <c r="I42" s="6">
        <f>IF(H42="","",MIN(391,MATCH(H42,$E$4:$E$394,1)+1))</f>
        <v/>
      </c>
      <c r="J42" s="29">
        <f>IF(I42="","",INDEX($B$4:$B$394,I42))</f>
        <v/>
      </c>
      <c r="K42" s="29">
        <f>IF(I42="","",INDEX($C$4:$C$394,I42))</f>
        <v/>
      </c>
    </row>
    <row r="43">
      <c r="A43" s="6">
        <f>ROW()-3</f>
        <v/>
      </c>
      <c r="B43" s="16">
        <f>MFD!E42</f>
        <v/>
      </c>
      <c r="C43" s="16">
        <f>MFD!H42</f>
        <v/>
      </c>
      <c r="D43" s="9">
        <f>MFD!J42</f>
        <v/>
      </c>
      <c r="E43" s="9">
        <f>E42+D43</f>
        <v/>
      </c>
      <c r="G43" s="6" t="n">
        <v>33</v>
      </c>
      <c r="H43" s="28">
        <f>IF(33&lt;$H$3,$H$6+33*$H$5,"")</f>
        <v/>
      </c>
      <c r="I43" s="6">
        <f>IF(H43="","",MIN(391,MATCH(H43,$E$4:$E$394,1)+1))</f>
        <v/>
      </c>
      <c r="J43" s="29">
        <f>IF(I43="","",INDEX($B$4:$B$394,I43))</f>
        <v/>
      </c>
      <c r="K43" s="29">
        <f>IF(I43="","",INDEX($C$4:$C$394,I43))</f>
        <v/>
      </c>
    </row>
    <row r="44">
      <c r="A44" s="6">
        <f>ROW()-3</f>
        <v/>
      </c>
      <c r="B44" s="16">
        <f>MFD!E43</f>
        <v/>
      </c>
      <c r="C44" s="16">
        <f>MFD!H43</f>
        <v/>
      </c>
      <c r="D44" s="9">
        <f>MFD!J43</f>
        <v/>
      </c>
      <c r="E44" s="9">
        <f>E43+D44</f>
        <v/>
      </c>
      <c r="G44" s="6" t="n">
        <v>34</v>
      </c>
      <c r="H44" s="28">
        <f>IF(34&lt;$H$3,$H$6+34*$H$5,"")</f>
        <v/>
      </c>
      <c r="I44" s="6">
        <f>IF(H44="","",MIN(391,MATCH(H44,$E$4:$E$394,1)+1))</f>
        <v/>
      </c>
      <c r="J44" s="29">
        <f>IF(I44="","",INDEX($B$4:$B$394,I44))</f>
        <v/>
      </c>
      <c r="K44" s="29">
        <f>IF(I44="","",INDEX($C$4:$C$394,I44))</f>
        <v/>
      </c>
    </row>
    <row r="45">
      <c r="A45" s="6">
        <f>ROW()-3</f>
        <v/>
      </c>
      <c r="B45" s="16">
        <f>MFD!E44</f>
        <v/>
      </c>
      <c r="C45" s="16">
        <f>MFD!H44</f>
        <v/>
      </c>
      <c r="D45" s="9">
        <f>MFD!J44</f>
        <v/>
      </c>
      <c r="E45" s="9">
        <f>E44+D45</f>
        <v/>
      </c>
      <c r="G45" s="6" t="n">
        <v>35</v>
      </c>
      <c r="H45" s="28">
        <f>IF(35&lt;$H$3,$H$6+35*$H$5,"")</f>
        <v/>
      </c>
      <c r="I45" s="6">
        <f>IF(H45="","",MIN(391,MATCH(H45,$E$4:$E$394,1)+1))</f>
        <v/>
      </c>
      <c r="J45" s="29">
        <f>IF(I45="","",INDEX($B$4:$B$394,I45))</f>
        <v/>
      </c>
      <c r="K45" s="29">
        <f>IF(I45="","",INDEX($C$4:$C$394,I45))</f>
        <v/>
      </c>
    </row>
    <row r="46">
      <c r="A46" s="6">
        <f>ROW()-3</f>
        <v/>
      </c>
      <c r="B46" s="16">
        <f>MFD!E45</f>
        <v/>
      </c>
      <c r="C46" s="16">
        <f>MFD!H45</f>
        <v/>
      </c>
      <c r="D46" s="9">
        <f>MFD!J45</f>
        <v/>
      </c>
      <c r="E46" s="9">
        <f>E45+D46</f>
        <v/>
      </c>
      <c r="G46" s="6" t="n">
        <v>36</v>
      </c>
      <c r="H46" s="28">
        <f>IF(36&lt;$H$3,$H$6+36*$H$5,"")</f>
        <v/>
      </c>
      <c r="I46" s="6">
        <f>IF(H46="","",MIN(391,MATCH(H46,$E$4:$E$394,1)+1))</f>
        <v/>
      </c>
      <c r="J46" s="29">
        <f>IF(I46="","",INDEX($B$4:$B$394,I46))</f>
        <v/>
      </c>
      <c r="K46" s="29">
        <f>IF(I46="","",INDEX($C$4:$C$394,I46))</f>
        <v/>
      </c>
    </row>
    <row r="47">
      <c r="A47" s="6">
        <f>ROW()-3</f>
        <v/>
      </c>
      <c r="B47" s="16">
        <f>MFD!E46</f>
        <v/>
      </c>
      <c r="C47" s="16">
        <f>MFD!H46</f>
        <v/>
      </c>
      <c r="D47" s="9">
        <f>MFD!J46</f>
        <v/>
      </c>
      <c r="E47" s="9">
        <f>E46+D47</f>
        <v/>
      </c>
      <c r="G47" s="6" t="n">
        <v>37</v>
      </c>
      <c r="H47" s="28">
        <f>IF(37&lt;$H$3,$H$6+37*$H$5,"")</f>
        <v/>
      </c>
      <c r="I47" s="6">
        <f>IF(H47="","",MIN(391,MATCH(H47,$E$4:$E$394,1)+1))</f>
        <v/>
      </c>
      <c r="J47" s="29">
        <f>IF(I47="","",INDEX($B$4:$B$394,I47))</f>
        <v/>
      </c>
      <c r="K47" s="29">
        <f>IF(I47="","",INDEX($C$4:$C$394,I47))</f>
        <v/>
      </c>
    </row>
    <row r="48">
      <c r="A48" s="6">
        <f>ROW()-3</f>
        <v/>
      </c>
      <c r="B48" s="16">
        <f>MFD!E47</f>
        <v/>
      </c>
      <c r="C48" s="16">
        <f>MFD!H47</f>
        <v/>
      </c>
      <c r="D48" s="9">
        <f>MFD!J47</f>
        <v/>
      </c>
      <c r="E48" s="9">
        <f>E47+D48</f>
        <v/>
      </c>
      <c r="G48" s="6" t="n">
        <v>38</v>
      </c>
      <c r="H48" s="28">
        <f>IF(38&lt;$H$3,$H$6+38*$H$5,"")</f>
        <v/>
      </c>
      <c r="I48" s="6">
        <f>IF(H48="","",MIN(391,MATCH(H48,$E$4:$E$394,1)+1))</f>
        <v/>
      </c>
      <c r="J48" s="29">
        <f>IF(I48="","",INDEX($B$4:$B$394,I48))</f>
        <v/>
      </c>
      <c r="K48" s="29">
        <f>IF(I48="","",INDEX($C$4:$C$394,I48))</f>
        <v/>
      </c>
    </row>
    <row r="49">
      <c r="A49" s="6">
        <f>ROW()-3</f>
        <v/>
      </c>
      <c r="B49" s="16">
        <f>MFD!E48</f>
        <v/>
      </c>
      <c r="C49" s="16">
        <f>MFD!H48</f>
        <v/>
      </c>
      <c r="D49" s="9">
        <f>MFD!J48</f>
        <v/>
      </c>
      <c r="E49" s="9">
        <f>E48+D49</f>
        <v/>
      </c>
      <c r="G49" s="6" t="n">
        <v>39</v>
      </c>
      <c r="H49" s="28">
        <f>IF(39&lt;$H$3,$H$6+39*$H$5,"")</f>
        <v/>
      </c>
      <c r="I49" s="6">
        <f>IF(H49="","",MIN(391,MATCH(H49,$E$4:$E$394,1)+1))</f>
        <v/>
      </c>
      <c r="J49" s="29">
        <f>IF(I49="","",INDEX($B$4:$B$394,I49))</f>
        <v/>
      </c>
      <c r="K49" s="29">
        <f>IF(I49="","",INDEX($C$4:$C$394,I49))</f>
        <v/>
      </c>
    </row>
    <row r="50">
      <c r="A50" s="6">
        <f>ROW()-3</f>
        <v/>
      </c>
      <c r="B50" s="16">
        <f>MFD!E49</f>
        <v/>
      </c>
      <c r="C50" s="16">
        <f>MFD!H49</f>
        <v/>
      </c>
      <c r="D50" s="9">
        <f>MFD!J49</f>
        <v/>
      </c>
      <c r="E50" s="9">
        <f>E49+D50</f>
        <v/>
      </c>
      <c r="G50" s="6" t="n">
        <v>40</v>
      </c>
      <c r="H50" s="28">
        <f>IF(40&lt;$H$3,$H$6+40*$H$5,"")</f>
        <v/>
      </c>
      <c r="I50" s="6">
        <f>IF(H50="","",MIN(391,MATCH(H50,$E$4:$E$394,1)+1))</f>
        <v/>
      </c>
      <c r="J50" s="29">
        <f>IF(I50="","",INDEX($B$4:$B$394,I50))</f>
        <v/>
      </c>
      <c r="K50" s="29">
        <f>IF(I50="","",INDEX($C$4:$C$394,I50))</f>
        <v/>
      </c>
    </row>
    <row r="51">
      <c r="A51" s="6">
        <f>ROW()-3</f>
        <v/>
      </c>
      <c r="B51" s="16">
        <f>MFD!E50</f>
        <v/>
      </c>
      <c r="C51" s="16">
        <f>MFD!H50</f>
        <v/>
      </c>
      <c r="D51" s="9">
        <f>MFD!J50</f>
        <v/>
      </c>
      <c r="E51" s="9">
        <f>E50+D51</f>
        <v/>
      </c>
      <c r="G51" s="6" t="n">
        <v>41</v>
      </c>
      <c r="H51" s="28">
        <f>IF(41&lt;$H$3,$H$6+41*$H$5,"")</f>
        <v/>
      </c>
      <c r="I51" s="6">
        <f>IF(H51="","",MIN(391,MATCH(H51,$E$4:$E$394,1)+1))</f>
        <v/>
      </c>
      <c r="J51" s="29">
        <f>IF(I51="","",INDEX($B$4:$B$394,I51))</f>
        <v/>
      </c>
      <c r="K51" s="29">
        <f>IF(I51="","",INDEX($C$4:$C$394,I51))</f>
        <v/>
      </c>
    </row>
    <row r="52">
      <c r="A52" s="6">
        <f>ROW()-3</f>
        <v/>
      </c>
      <c r="B52" s="16">
        <f>MFD!E51</f>
        <v/>
      </c>
      <c r="C52" s="16">
        <f>MFD!H51</f>
        <v/>
      </c>
      <c r="D52" s="9">
        <f>MFD!J51</f>
        <v/>
      </c>
      <c r="E52" s="9">
        <f>E51+D52</f>
        <v/>
      </c>
      <c r="G52" s="6" t="n">
        <v>42</v>
      </c>
      <c r="H52" s="28">
        <f>IF(42&lt;$H$3,$H$6+42*$H$5,"")</f>
        <v/>
      </c>
      <c r="I52" s="6">
        <f>IF(H52="","",MIN(391,MATCH(H52,$E$4:$E$394,1)+1))</f>
        <v/>
      </c>
      <c r="J52" s="29">
        <f>IF(I52="","",INDEX($B$4:$B$394,I52))</f>
        <v/>
      </c>
      <c r="K52" s="29">
        <f>IF(I52="","",INDEX($C$4:$C$394,I52))</f>
        <v/>
      </c>
    </row>
    <row r="53">
      <c r="A53" s="6">
        <f>ROW()-3</f>
        <v/>
      </c>
      <c r="B53" s="16">
        <f>MFD!E52</f>
        <v/>
      </c>
      <c r="C53" s="16">
        <f>MFD!H52</f>
        <v/>
      </c>
      <c r="D53" s="9">
        <f>MFD!J52</f>
        <v/>
      </c>
      <c r="E53" s="9">
        <f>E52+D53</f>
        <v/>
      </c>
      <c r="G53" s="6" t="n">
        <v>43</v>
      </c>
      <c r="H53" s="28">
        <f>IF(43&lt;$H$3,$H$6+43*$H$5,"")</f>
        <v/>
      </c>
      <c r="I53" s="6">
        <f>IF(H53="","",MIN(391,MATCH(H53,$E$4:$E$394,1)+1))</f>
        <v/>
      </c>
      <c r="J53" s="29">
        <f>IF(I53="","",INDEX($B$4:$B$394,I53))</f>
        <v/>
      </c>
      <c r="K53" s="29">
        <f>IF(I53="","",INDEX($C$4:$C$394,I53))</f>
        <v/>
      </c>
    </row>
    <row r="54">
      <c r="A54" s="6">
        <f>ROW()-3</f>
        <v/>
      </c>
      <c r="B54" s="16">
        <f>MFD!E53</f>
        <v/>
      </c>
      <c r="C54" s="16">
        <f>MFD!H53</f>
        <v/>
      </c>
      <c r="D54" s="9">
        <f>MFD!J53</f>
        <v/>
      </c>
      <c r="E54" s="9">
        <f>E53+D54</f>
        <v/>
      </c>
      <c r="G54" s="6" t="n">
        <v>44</v>
      </c>
      <c r="H54" s="28">
        <f>IF(44&lt;$H$3,$H$6+44*$H$5,"")</f>
        <v/>
      </c>
      <c r="I54" s="6">
        <f>IF(H54="","",MIN(391,MATCH(H54,$E$4:$E$394,1)+1))</f>
        <v/>
      </c>
      <c r="J54" s="29">
        <f>IF(I54="","",INDEX($B$4:$B$394,I54))</f>
        <v/>
      </c>
      <c r="K54" s="29">
        <f>IF(I54="","",INDEX($C$4:$C$394,I54))</f>
        <v/>
      </c>
    </row>
    <row r="55">
      <c r="A55" s="6">
        <f>ROW()-3</f>
        <v/>
      </c>
      <c r="B55" s="16">
        <f>MFD!E54</f>
        <v/>
      </c>
      <c r="C55" s="16">
        <f>MFD!H54</f>
        <v/>
      </c>
      <c r="D55" s="9">
        <f>MFD!J54</f>
        <v/>
      </c>
      <c r="E55" s="9">
        <f>E54+D55</f>
        <v/>
      </c>
      <c r="G55" s="6" t="n">
        <v>45</v>
      </c>
      <c r="H55" s="28">
        <f>IF(45&lt;$H$3,$H$6+45*$H$5,"")</f>
        <v/>
      </c>
      <c r="I55" s="6">
        <f>IF(H55="","",MIN(391,MATCH(H55,$E$4:$E$394,1)+1))</f>
        <v/>
      </c>
      <c r="J55" s="29">
        <f>IF(I55="","",INDEX($B$4:$B$394,I55))</f>
        <v/>
      </c>
      <c r="K55" s="29">
        <f>IF(I55="","",INDEX($C$4:$C$394,I55))</f>
        <v/>
      </c>
    </row>
    <row r="56">
      <c r="A56" s="6">
        <f>ROW()-3</f>
        <v/>
      </c>
      <c r="B56" s="16">
        <f>MFD!E55</f>
        <v/>
      </c>
      <c r="C56" s="16">
        <f>MFD!H55</f>
        <v/>
      </c>
      <c r="D56" s="9">
        <f>MFD!J55</f>
        <v/>
      </c>
      <c r="E56" s="9">
        <f>E55+D56</f>
        <v/>
      </c>
      <c r="G56" s="6" t="n">
        <v>46</v>
      </c>
      <c r="H56" s="28">
        <f>IF(46&lt;$H$3,$H$6+46*$H$5,"")</f>
        <v/>
      </c>
      <c r="I56" s="6">
        <f>IF(H56="","",MIN(391,MATCH(H56,$E$4:$E$394,1)+1))</f>
        <v/>
      </c>
      <c r="J56" s="29">
        <f>IF(I56="","",INDEX($B$4:$B$394,I56))</f>
        <v/>
      </c>
      <c r="K56" s="29">
        <f>IF(I56="","",INDEX($C$4:$C$394,I56))</f>
        <v/>
      </c>
    </row>
    <row r="57">
      <c r="A57" s="6">
        <f>ROW()-3</f>
        <v/>
      </c>
      <c r="B57" s="16">
        <f>MFD!E56</f>
        <v/>
      </c>
      <c r="C57" s="16">
        <f>MFD!H56</f>
        <v/>
      </c>
      <c r="D57" s="9">
        <f>MFD!J56</f>
        <v/>
      </c>
      <c r="E57" s="9">
        <f>E56+D57</f>
        <v/>
      </c>
      <c r="G57" s="6" t="n">
        <v>47</v>
      </c>
      <c r="H57" s="28">
        <f>IF(47&lt;$H$3,$H$6+47*$H$5,"")</f>
        <v/>
      </c>
      <c r="I57" s="6">
        <f>IF(H57="","",MIN(391,MATCH(H57,$E$4:$E$394,1)+1))</f>
        <v/>
      </c>
      <c r="J57" s="29">
        <f>IF(I57="","",INDEX($B$4:$B$394,I57))</f>
        <v/>
      </c>
      <c r="K57" s="29">
        <f>IF(I57="","",INDEX($C$4:$C$394,I57))</f>
        <v/>
      </c>
    </row>
    <row r="58">
      <c r="A58" s="6">
        <f>ROW()-3</f>
        <v/>
      </c>
      <c r="B58" s="16">
        <f>MFD!E57</f>
        <v/>
      </c>
      <c r="C58" s="16">
        <f>MFD!H57</f>
        <v/>
      </c>
      <c r="D58" s="9">
        <f>MFD!J57</f>
        <v/>
      </c>
      <c r="E58" s="9">
        <f>E57+D58</f>
        <v/>
      </c>
      <c r="G58" s="6" t="n">
        <v>48</v>
      </c>
      <c r="H58" s="28">
        <f>IF(48&lt;$H$3,$H$6+48*$H$5,"")</f>
        <v/>
      </c>
      <c r="I58" s="6">
        <f>IF(H58="","",MIN(391,MATCH(H58,$E$4:$E$394,1)+1))</f>
        <v/>
      </c>
      <c r="J58" s="29">
        <f>IF(I58="","",INDEX($B$4:$B$394,I58))</f>
        <v/>
      </c>
      <c r="K58" s="29">
        <f>IF(I58="","",INDEX($C$4:$C$394,I58))</f>
        <v/>
      </c>
    </row>
    <row r="59">
      <c r="A59" s="6">
        <f>ROW()-3</f>
        <v/>
      </c>
      <c r="B59" s="16">
        <f>MFD!E58</f>
        <v/>
      </c>
      <c r="C59" s="16">
        <f>MFD!H58</f>
        <v/>
      </c>
      <c r="D59" s="9">
        <f>MFD!J58</f>
        <v/>
      </c>
      <c r="E59" s="9">
        <f>E58+D59</f>
        <v/>
      </c>
      <c r="G59" s="6" t="n">
        <v>49</v>
      </c>
      <c r="H59" s="28">
        <f>IF(49&lt;$H$3,$H$6+49*$H$5,"")</f>
        <v/>
      </c>
      <c r="I59" s="6">
        <f>IF(H59="","",MIN(391,MATCH(H59,$E$4:$E$394,1)+1))</f>
        <v/>
      </c>
      <c r="J59" s="29">
        <f>IF(I59="","",INDEX($B$4:$B$394,I59))</f>
        <v/>
      </c>
      <c r="K59" s="29">
        <f>IF(I59="","",INDEX($C$4:$C$394,I59))</f>
        <v/>
      </c>
    </row>
    <row r="60">
      <c r="A60" s="6">
        <f>ROW()-3</f>
        <v/>
      </c>
      <c r="B60" s="16">
        <f>MFD!E59</f>
        <v/>
      </c>
      <c r="C60" s="16">
        <f>MFD!H59</f>
        <v/>
      </c>
      <c r="D60" s="9">
        <f>MFD!J59</f>
        <v/>
      </c>
      <c r="E60" s="9">
        <f>E59+D60</f>
        <v/>
      </c>
      <c r="G60" s="6" t="n">
        <v>50</v>
      </c>
      <c r="H60" s="28">
        <f>IF(50&lt;$H$3,$H$6+50*$H$5,"")</f>
        <v/>
      </c>
      <c r="I60" s="6">
        <f>IF(H60="","",MIN(391,MATCH(H60,$E$4:$E$394,1)+1))</f>
        <v/>
      </c>
      <c r="J60" s="29">
        <f>IF(I60="","",INDEX($B$4:$B$394,I60))</f>
        <v/>
      </c>
      <c r="K60" s="29">
        <f>IF(I60="","",INDEX($C$4:$C$394,I60))</f>
        <v/>
      </c>
    </row>
    <row r="61">
      <c r="A61" s="6">
        <f>ROW()-3</f>
        <v/>
      </c>
      <c r="B61" s="16">
        <f>MFD!E60</f>
        <v/>
      </c>
      <c r="C61" s="16">
        <f>MFD!H60</f>
        <v/>
      </c>
      <c r="D61" s="9">
        <f>MFD!J60</f>
        <v/>
      </c>
      <c r="E61" s="9">
        <f>E60+D61</f>
        <v/>
      </c>
      <c r="G61" s="6" t="n">
        <v>51</v>
      </c>
      <c r="H61" s="28">
        <f>IF(51&lt;$H$3,$H$6+51*$H$5,"")</f>
        <v/>
      </c>
      <c r="I61" s="6">
        <f>IF(H61="","",MIN(391,MATCH(H61,$E$4:$E$394,1)+1))</f>
        <v/>
      </c>
      <c r="J61" s="29">
        <f>IF(I61="","",INDEX($B$4:$B$394,I61))</f>
        <v/>
      </c>
      <c r="K61" s="29">
        <f>IF(I61="","",INDEX($C$4:$C$394,I61))</f>
        <v/>
      </c>
    </row>
    <row r="62">
      <c r="A62" s="6">
        <f>ROW()-3</f>
        <v/>
      </c>
      <c r="B62" s="16">
        <f>MFD!E61</f>
        <v/>
      </c>
      <c r="C62" s="16">
        <f>MFD!H61</f>
        <v/>
      </c>
      <c r="D62" s="9">
        <f>MFD!J61</f>
        <v/>
      </c>
      <c r="E62" s="9">
        <f>E61+D62</f>
        <v/>
      </c>
      <c r="G62" s="6" t="n">
        <v>52</v>
      </c>
      <c r="H62" s="28">
        <f>IF(52&lt;$H$3,$H$6+52*$H$5,"")</f>
        <v/>
      </c>
      <c r="I62" s="6">
        <f>IF(H62="","",MIN(391,MATCH(H62,$E$4:$E$394,1)+1))</f>
        <v/>
      </c>
      <c r="J62" s="29">
        <f>IF(I62="","",INDEX($B$4:$B$394,I62))</f>
        <v/>
      </c>
      <c r="K62" s="29">
        <f>IF(I62="","",INDEX($C$4:$C$394,I62))</f>
        <v/>
      </c>
    </row>
    <row r="63">
      <c r="A63" s="6">
        <f>ROW()-3</f>
        <v/>
      </c>
      <c r="B63" s="16">
        <f>MFD!E62</f>
        <v/>
      </c>
      <c r="C63" s="16">
        <f>MFD!H62</f>
        <v/>
      </c>
      <c r="D63" s="9">
        <f>MFD!J62</f>
        <v/>
      </c>
      <c r="E63" s="9">
        <f>E62+D63</f>
        <v/>
      </c>
      <c r="G63" s="6" t="n">
        <v>53</v>
      </c>
      <c r="H63" s="28">
        <f>IF(53&lt;$H$3,$H$6+53*$H$5,"")</f>
        <v/>
      </c>
      <c r="I63" s="6">
        <f>IF(H63="","",MIN(391,MATCH(H63,$E$4:$E$394,1)+1))</f>
        <v/>
      </c>
      <c r="J63" s="29">
        <f>IF(I63="","",INDEX($B$4:$B$394,I63))</f>
        <v/>
      </c>
      <c r="K63" s="29">
        <f>IF(I63="","",INDEX($C$4:$C$394,I63))</f>
        <v/>
      </c>
    </row>
    <row r="64">
      <c r="A64" s="6">
        <f>ROW()-3</f>
        <v/>
      </c>
      <c r="B64" s="16">
        <f>MFD!E63</f>
        <v/>
      </c>
      <c r="C64" s="16">
        <f>MFD!H63</f>
        <v/>
      </c>
      <c r="D64" s="9">
        <f>MFD!J63</f>
        <v/>
      </c>
      <c r="E64" s="9">
        <f>E63+D64</f>
        <v/>
      </c>
      <c r="G64" s="6" t="n">
        <v>54</v>
      </c>
      <c r="H64" s="28">
        <f>IF(54&lt;$H$3,$H$6+54*$H$5,"")</f>
        <v/>
      </c>
      <c r="I64" s="6">
        <f>IF(H64="","",MIN(391,MATCH(H64,$E$4:$E$394,1)+1))</f>
        <v/>
      </c>
      <c r="J64" s="29">
        <f>IF(I64="","",INDEX($B$4:$B$394,I64))</f>
        <v/>
      </c>
      <c r="K64" s="29">
        <f>IF(I64="","",INDEX($C$4:$C$394,I64))</f>
        <v/>
      </c>
    </row>
    <row r="65">
      <c r="A65" s="6">
        <f>ROW()-3</f>
        <v/>
      </c>
      <c r="B65" s="16">
        <f>MFD!E64</f>
        <v/>
      </c>
      <c r="C65" s="16">
        <f>MFD!H64</f>
        <v/>
      </c>
      <c r="D65" s="9">
        <f>MFD!J64</f>
        <v/>
      </c>
      <c r="E65" s="9">
        <f>E64+D65</f>
        <v/>
      </c>
      <c r="G65" s="6" t="n">
        <v>55</v>
      </c>
      <c r="H65" s="28">
        <f>IF(55&lt;$H$3,$H$6+55*$H$5,"")</f>
        <v/>
      </c>
      <c r="I65" s="6">
        <f>IF(H65="","",MIN(391,MATCH(H65,$E$4:$E$394,1)+1))</f>
        <v/>
      </c>
      <c r="J65" s="29">
        <f>IF(I65="","",INDEX($B$4:$B$394,I65))</f>
        <v/>
      </c>
      <c r="K65" s="29">
        <f>IF(I65="","",INDEX($C$4:$C$394,I65))</f>
        <v/>
      </c>
    </row>
    <row r="66">
      <c r="A66" s="6">
        <f>ROW()-3</f>
        <v/>
      </c>
      <c r="B66" s="16">
        <f>MFD!E65</f>
        <v/>
      </c>
      <c r="C66" s="16">
        <f>MFD!H65</f>
        <v/>
      </c>
      <c r="D66" s="9">
        <f>MFD!J65</f>
        <v/>
      </c>
      <c r="E66" s="9">
        <f>E65+D66</f>
        <v/>
      </c>
      <c r="G66" s="6" t="n">
        <v>56</v>
      </c>
      <c r="H66" s="28">
        <f>IF(56&lt;$H$3,$H$6+56*$H$5,"")</f>
        <v/>
      </c>
      <c r="I66" s="6">
        <f>IF(H66="","",MIN(391,MATCH(H66,$E$4:$E$394,1)+1))</f>
        <v/>
      </c>
      <c r="J66" s="29">
        <f>IF(I66="","",INDEX($B$4:$B$394,I66))</f>
        <v/>
      </c>
      <c r="K66" s="29">
        <f>IF(I66="","",INDEX($C$4:$C$394,I66))</f>
        <v/>
      </c>
    </row>
    <row r="67">
      <c r="A67" s="6">
        <f>ROW()-3</f>
        <v/>
      </c>
      <c r="B67" s="16">
        <f>MFD!E66</f>
        <v/>
      </c>
      <c r="C67" s="16">
        <f>MFD!H66</f>
        <v/>
      </c>
      <c r="D67" s="9">
        <f>MFD!J66</f>
        <v/>
      </c>
      <c r="E67" s="9">
        <f>E66+D67</f>
        <v/>
      </c>
      <c r="G67" s="6" t="n">
        <v>57</v>
      </c>
      <c r="H67" s="28">
        <f>IF(57&lt;$H$3,$H$6+57*$H$5,"")</f>
        <v/>
      </c>
      <c r="I67" s="6">
        <f>IF(H67="","",MIN(391,MATCH(H67,$E$4:$E$394,1)+1))</f>
        <v/>
      </c>
      <c r="J67" s="29">
        <f>IF(I67="","",INDEX($B$4:$B$394,I67))</f>
        <v/>
      </c>
      <c r="K67" s="29">
        <f>IF(I67="","",INDEX($C$4:$C$394,I67))</f>
        <v/>
      </c>
    </row>
    <row r="68">
      <c r="A68" s="6">
        <f>ROW()-3</f>
        <v/>
      </c>
      <c r="B68" s="16">
        <f>MFD!E67</f>
        <v/>
      </c>
      <c r="C68" s="16">
        <f>MFD!H67</f>
        <v/>
      </c>
      <c r="D68" s="9">
        <f>MFD!J67</f>
        <v/>
      </c>
      <c r="E68" s="9">
        <f>E67+D68</f>
        <v/>
      </c>
      <c r="G68" s="6" t="n">
        <v>58</v>
      </c>
      <c r="H68" s="28">
        <f>IF(58&lt;$H$3,$H$6+58*$H$5,"")</f>
        <v/>
      </c>
      <c r="I68" s="6">
        <f>IF(H68="","",MIN(391,MATCH(H68,$E$4:$E$394,1)+1))</f>
        <v/>
      </c>
      <c r="J68" s="29">
        <f>IF(I68="","",INDEX($B$4:$B$394,I68))</f>
        <v/>
      </c>
      <c r="K68" s="29">
        <f>IF(I68="","",INDEX($C$4:$C$394,I68))</f>
        <v/>
      </c>
    </row>
    <row r="69">
      <c r="A69" s="6">
        <f>ROW()-3</f>
        <v/>
      </c>
      <c r="B69" s="16">
        <f>MFD!E68</f>
        <v/>
      </c>
      <c r="C69" s="16">
        <f>MFD!H68</f>
        <v/>
      </c>
      <c r="D69" s="9">
        <f>MFD!J68</f>
        <v/>
      </c>
      <c r="E69" s="9">
        <f>E68+D69</f>
        <v/>
      </c>
      <c r="G69" s="6" t="n">
        <v>59</v>
      </c>
      <c r="H69" s="28">
        <f>IF(59&lt;$H$3,$H$6+59*$H$5,"")</f>
        <v/>
      </c>
      <c r="I69" s="6">
        <f>IF(H69="","",MIN(391,MATCH(H69,$E$4:$E$394,1)+1))</f>
        <v/>
      </c>
      <c r="J69" s="29">
        <f>IF(I69="","",INDEX($B$4:$B$394,I69))</f>
        <v/>
      </c>
      <c r="K69" s="29">
        <f>IF(I69="","",INDEX($C$4:$C$394,I69))</f>
        <v/>
      </c>
    </row>
    <row r="70">
      <c r="A70" s="6">
        <f>ROW()-3</f>
        <v/>
      </c>
      <c r="B70" s="16">
        <f>MFD!E69</f>
        <v/>
      </c>
      <c r="C70" s="16">
        <f>MFD!H69</f>
        <v/>
      </c>
      <c r="D70" s="9">
        <f>MFD!J69</f>
        <v/>
      </c>
      <c r="E70" s="9">
        <f>E69+D70</f>
        <v/>
      </c>
      <c r="G70" s="6" t="n">
        <v>60</v>
      </c>
      <c r="H70" s="28">
        <f>IF(60&lt;$H$3,$H$6+60*$H$5,"")</f>
        <v/>
      </c>
      <c r="I70" s="6">
        <f>IF(H70="","",MIN(391,MATCH(H70,$E$4:$E$394,1)+1))</f>
        <v/>
      </c>
      <c r="J70" s="29">
        <f>IF(I70="","",INDEX($B$4:$B$394,I70))</f>
        <v/>
      </c>
      <c r="K70" s="29">
        <f>IF(I70="","",INDEX($C$4:$C$394,I70))</f>
        <v/>
      </c>
    </row>
    <row r="71">
      <c r="A71" s="6">
        <f>ROW()-3</f>
        <v/>
      </c>
      <c r="B71" s="16">
        <f>MFD!E70</f>
        <v/>
      </c>
      <c r="C71" s="16">
        <f>MFD!H70</f>
        <v/>
      </c>
      <c r="D71" s="9">
        <f>MFD!J70</f>
        <v/>
      </c>
      <c r="E71" s="9">
        <f>E70+D71</f>
        <v/>
      </c>
      <c r="G71" s="6" t="n">
        <v>61</v>
      </c>
      <c r="H71" s="28">
        <f>IF(61&lt;$H$3,$H$6+61*$H$5,"")</f>
        <v/>
      </c>
      <c r="I71" s="6">
        <f>IF(H71="","",MIN(391,MATCH(H71,$E$4:$E$394,1)+1))</f>
        <v/>
      </c>
      <c r="J71" s="29">
        <f>IF(I71="","",INDEX($B$4:$B$394,I71))</f>
        <v/>
      </c>
      <c r="K71" s="29">
        <f>IF(I71="","",INDEX($C$4:$C$394,I71))</f>
        <v/>
      </c>
    </row>
    <row r="72">
      <c r="A72" s="6">
        <f>ROW()-3</f>
        <v/>
      </c>
      <c r="B72" s="16">
        <f>MFD!E71</f>
        <v/>
      </c>
      <c r="C72" s="16">
        <f>MFD!H71</f>
        <v/>
      </c>
      <c r="D72" s="9">
        <f>MFD!J71</f>
        <v/>
      </c>
      <c r="E72" s="9">
        <f>E71+D72</f>
        <v/>
      </c>
      <c r="G72" s="6" t="n">
        <v>62</v>
      </c>
      <c r="H72" s="28">
        <f>IF(62&lt;$H$3,$H$6+62*$H$5,"")</f>
        <v/>
      </c>
      <c r="I72" s="6">
        <f>IF(H72="","",MIN(391,MATCH(H72,$E$4:$E$394,1)+1))</f>
        <v/>
      </c>
      <c r="J72" s="29">
        <f>IF(I72="","",INDEX($B$4:$B$394,I72))</f>
        <v/>
      </c>
      <c r="K72" s="29">
        <f>IF(I72="","",INDEX($C$4:$C$394,I72))</f>
        <v/>
      </c>
    </row>
    <row r="73">
      <c r="A73" s="6">
        <f>ROW()-3</f>
        <v/>
      </c>
      <c r="B73" s="16">
        <f>MFD!E72</f>
        <v/>
      </c>
      <c r="C73" s="16">
        <f>MFD!H72</f>
        <v/>
      </c>
      <c r="D73" s="9">
        <f>MFD!J72</f>
        <v/>
      </c>
      <c r="E73" s="9">
        <f>E72+D73</f>
        <v/>
      </c>
      <c r="G73" s="6" t="n">
        <v>63</v>
      </c>
      <c r="H73" s="28">
        <f>IF(63&lt;$H$3,$H$6+63*$H$5,"")</f>
        <v/>
      </c>
      <c r="I73" s="6">
        <f>IF(H73="","",MIN(391,MATCH(H73,$E$4:$E$394,1)+1))</f>
        <v/>
      </c>
      <c r="J73" s="29">
        <f>IF(I73="","",INDEX($B$4:$B$394,I73))</f>
        <v/>
      </c>
      <c r="K73" s="29">
        <f>IF(I73="","",INDEX($C$4:$C$394,I73))</f>
        <v/>
      </c>
    </row>
    <row r="74">
      <c r="A74" s="6">
        <f>ROW()-3</f>
        <v/>
      </c>
      <c r="B74" s="16">
        <f>MFD!E73</f>
        <v/>
      </c>
      <c r="C74" s="16">
        <f>MFD!H73</f>
        <v/>
      </c>
      <c r="D74" s="9">
        <f>MFD!J73</f>
        <v/>
      </c>
      <c r="E74" s="9">
        <f>E73+D74</f>
        <v/>
      </c>
      <c r="G74" s="6" t="n">
        <v>64</v>
      </c>
      <c r="H74" s="28">
        <f>IF(64&lt;$H$3,$H$6+64*$H$5,"")</f>
        <v/>
      </c>
      <c r="I74" s="6">
        <f>IF(H74="","",MIN(391,MATCH(H74,$E$4:$E$394,1)+1))</f>
        <v/>
      </c>
      <c r="J74" s="29">
        <f>IF(I74="","",INDEX($B$4:$B$394,I74))</f>
        <v/>
      </c>
      <c r="K74" s="29">
        <f>IF(I74="","",INDEX($C$4:$C$394,I74))</f>
        <v/>
      </c>
    </row>
    <row r="75">
      <c r="A75" s="6">
        <f>ROW()-3</f>
        <v/>
      </c>
      <c r="B75" s="16">
        <f>MFD!E74</f>
        <v/>
      </c>
      <c r="C75" s="16">
        <f>MFD!H74</f>
        <v/>
      </c>
      <c r="D75" s="9">
        <f>MFD!J74</f>
        <v/>
      </c>
      <c r="E75" s="9">
        <f>E74+D75</f>
        <v/>
      </c>
      <c r="G75" s="6" t="n">
        <v>65</v>
      </c>
      <c r="H75" s="28">
        <f>IF(65&lt;$H$3,$H$6+65*$H$5,"")</f>
        <v/>
      </c>
      <c r="I75" s="6">
        <f>IF(H75="","",MIN(391,MATCH(H75,$E$4:$E$394,1)+1))</f>
        <v/>
      </c>
      <c r="J75" s="29">
        <f>IF(I75="","",INDEX($B$4:$B$394,I75))</f>
        <v/>
      </c>
      <c r="K75" s="29">
        <f>IF(I75="","",INDEX($C$4:$C$394,I75))</f>
        <v/>
      </c>
    </row>
    <row r="76">
      <c r="A76" s="6">
        <f>ROW()-3</f>
        <v/>
      </c>
      <c r="B76" s="16">
        <f>MFD!E75</f>
        <v/>
      </c>
      <c r="C76" s="16">
        <f>MFD!H75</f>
        <v/>
      </c>
      <c r="D76" s="9">
        <f>MFD!J75</f>
        <v/>
      </c>
      <c r="E76" s="9">
        <f>E75+D76</f>
        <v/>
      </c>
      <c r="G76" s="6" t="n">
        <v>66</v>
      </c>
      <c r="H76" s="28">
        <f>IF(66&lt;$H$3,$H$6+66*$H$5,"")</f>
        <v/>
      </c>
      <c r="I76" s="6">
        <f>IF(H76="","",MIN(391,MATCH(H76,$E$4:$E$394,1)+1))</f>
        <v/>
      </c>
      <c r="J76" s="29">
        <f>IF(I76="","",INDEX($B$4:$B$394,I76))</f>
        <v/>
      </c>
      <c r="K76" s="29">
        <f>IF(I76="","",INDEX($C$4:$C$394,I76))</f>
        <v/>
      </c>
    </row>
    <row r="77">
      <c r="A77" s="6">
        <f>ROW()-3</f>
        <v/>
      </c>
      <c r="B77" s="16">
        <f>MFD!E76</f>
        <v/>
      </c>
      <c r="C77" s="16">
        <f>MFD!H76</f>
        <v/>
      </c>
      <c r="D77" s="9">
        <f>MFD!J76</f>
        <v/>
      </c>
      <c r="E77" s="9">
        <f>E76+D77</f>
        <v/>
      </c>
      <c r="G77" s="6" t="n">
        <v>67</v>
      </c>
      <c r="H77" s="28">
        <f>IF(67&lt;$H$3,$H$6+67*$H$5,"")</f>
        <v/>
      </c>
      <c r="I77" s="6">
        <f>IF(H77="","",MIN(391,MATCH(H77,$E$4:$E$394,1)+1))</f>
        <v/>
      </c>
      <c r="J77" s="29">
        <f>IF(I77="","",INDEX($B$4:$B$394,I77))</f>
        <v/>
      </c>
      <c r="K77" s="29">
        <f>IF(I77="","",INDEX($C$4:$C$394,I77))</f>
        <v/>
      </c>
    </row>
    <row r="78">
      <c r="A78" s="6">
        <f>ROW()-3</f>
        <v/>
      </c>
      <c r="B78" s="16">
        <f>MFD!E77</f>
        <v/>
      </c>
      <c r="C78" s="16">
        <f>MFD!H77</f>
        <v/>
      </c>
      <c r="D78" s="9">
        <f>MFD!J77</f>
        <v/>
      </c>
      <c r="E78" s="9">
        <f>E77+D78</f>
        <v/>
      </c>
      <c r="G78" s="6" t="n">
        <v>68</v>
      </c>
      <c r="H78" s="28">
        <f>IF(68&lt;$H$3,$H$6+68*$H$5,"")</f>
        <v/>
      </c>
      <c r="I78" s="6">
        <f>IF(H78="","",MIN(391,MATCH(H78,$E$4:$E$394,1)+1))</f>
        <v/>
      </c>
      <c r="J78" s="29">
        <f>IF(I78="","",INDEX($B$4:$B$394,I78))</f>
        <v/>
      </c>
      <c r="K78" s="29">
        <f>IF(I78="","",INDEX($C$4:$C$394,I78))</f>
        <v/>
      </c>
    </row>
    <row r="79">
      <c r="A79" s="6">
        <f>ROW()-3</f>
        <v/>
      </c>
      <c r="B79" s="16">
        <f>MFD!E78</f>
        <v/>
      </c>
      <c r="C79" s="16">
        <f>MFD!H78</f>
        <v/>
      </c>
      <c r="D79" s="9">
        <f>MFD!J78</f>
        <v/>
      </c>
      <c r="E79" s="9">
        <f>E78+D79</f>
        <v/>
      </c>
      <c r="G79" s="6" t="n">
        <v>69</v>
      </c>
      <c r="H79" s="28">
        <f>IF(69&lt;$H$3,$H$6+69*$H$5,"")</f>
        <v/>
      </c>
      <c r="I79" s="6">
        <f>IF(H79="","",MIN(391,MATCH(H79,$E$4:$E$394,1)+1))</f>
        <v/>
      </c>
      <c r="J79" s="29">
        <f>IF(I79="","",INDEX($B$4:$B$394,I79))</f>
        <v/>
      </c>
      <c r="K79" s="29">
        <f>IF(I79="","",INDEX($C$4:$C$394,I79))</f>
        <v/>
      </c>
    </row>
    <row r="80">
      <c r="A80" s="6">
        <f>ROW()-3</f>
        <v/>
      </c>
      <c r="B80" s="16">
        <f>MFD!E79</f>
        <v/>
      </c>
      <c r="C80" s="16">
        <f>MFD!H79</f>
        <v/>
      </c>
      <c r="D80" s="9">
        <f>MFD!J79</f>
        <v/>
      </c>
      <c r="E80" s="9">
        <f>E79+D80</f>
        <v/>
      </c>
      <c r="G80" s="6" t="n">
        <v>70</v>
      </c>
      <c r="H80" s="28">
        <f>IF(70&lt;$H$3,$H$6+70*$H$5,"")</f>
        <v/>
      </c>
      <c r="I80" s="6">
        <f>IF(H80="","",MIN(391,MATCH(H80,$E$4:$E$394,1)+1))</f>
        <v/>
      </c>
      <c r="J80" s="29">
        <f>IF(I80="","",INDEX($B$4:$B$394,I80))</f>
        <v/>
      </c>
      <c r="K80" s="29">
        <f>IF(I80="","",INDEX($C$4:$C$394,I80))</f>
        <v/>
      </c>
    </row>
    <row r="81">
      <c r="A81" s="6">
        <f>ROW()-3</f>
        <v/>
      </c>
      <c r="B81" s="16">
        <f>MFD!E80</f>
        <v/>
      </c>
      <c r="C81" s="16">
        <f>MFD!H80</f>
        <v/>
      </c>
      <c r="D81" s="9">
        <f>MFD!J80</f>
        <v/>
      </c>
      <c r="E81" s="9">
        <f>E80+D81</f>
        <v/>
      </c>
      <c r="G81" s="6" t="n">
        <v>71</v>
      </c>
      <c r="H81" s="28">
        <f>IF(71&lt;$H$3,$H$6+71*$H$5,"")</f>
        <v/>
      </c>
      <c r="I81" s="6">
        <f>IF(H81="","",MIN(391,MATCH(H81,$E$4:$E$394,1)+1))</f>
        <v/>
      </c>
      <c r="J81" s="29">
        <f>IF(I81="","",INDEX($B$4:$B$394,I81))</f>
        <v/>
      </c>
      <c r="K81" s="29">
        <f>IF(I81="","",INDEX($C$4:$C$394,I81))</f>
        <v/>
      </c>
    </row>
    <row r="82">
      <c r="A82" s="6">
        <f>ROW()-3</f>
        <v/>
      </c>
      <c r="B82" s="16">
        <f>MFD!E81</f>
        <v/>
      </c>
      <c r="C82" s="16">
        <f>MFD!H81</f>
        <v/>
      </c>
      <c r="D82" s="9">
        <f>MFD!J81</f>
        <v/>
      </c>
      <c r="E82" s="9">
        <f>E81+D82</f>
        <v/>
      </c>
      <c r="G82" s="6" t="n">
        <v>72</v>
      </c>
      <c r="H82" s="28">
        <f>IF(72&lt;$H$3,$H$6+72*$H$5,"")</f>
        <v/>
      </c>
      <c r="I82" s="6">
        <f>IF(H82="","",MIN(391,MATCH(H82,$E$4:$E$394,1)+1))</f>
        <v/>
      </c>
      <c r="J82" s="29">
        <f>IF(I82="","",INDEX($B$4:$B$394,I82))</f>
        <v/>
      </c>
      <c r="K82" s="29">
        <f>IF(I82="","",INDEX($C$4:$C$394,I82))</f>
        <v/>
      </c>
    </row>
    <row r="83">
      <c r="A83" s="6">
        <f>ROW()-3</f>
        <v/>
      </c>
      <c r="B83" s="16">
        <f>MFD!E82</f>
        <v/>
      </c>
      <c r="C83" s="16">
        <f>MFD!H82</f>
        <v/>
      </c>
      <c r="D83" s="9">
        <f>MFD!J82</f>
        <v/>
      </c>
      <c r="E83" s="9">
        <f>E82+D83</f>
        <v/>
      </c>
      <c r="G83" s="6" t="n">
        <v>73</v>
      </c>
      <c r="H83" s="28">
        <f>IF(73&lt;$H$3,$H$6+73*$H$5,"")</f>
        <v/>
      </c>
      <c r="I83" s="6">
        <f>IF(H83="","",MIN(391,MATCH(H83,$E$4:$E$394,1)+1))</f>
        <v/>
      </c>
      <c r="J83" s="29">
        <f>IF(I83="","",INDEX($B$4:$B$394,I83))</f>
        <v/>
      </c>
      <c r="K83" s="29">
        <f>IF(I83="","",INDEX($C$4:$C$394,I83))</f>
        <v/>
      </c>
    </row>
    <row r="84">
      <c r="A84" s="6">
        <f>ROW()-3</f>
        <v/>
      </c>
      <c r="B84" s="16">
        <f>MFD!E83</f>
        <v/>
      </c>
      <c r="C84" s="16">
        <f>MFD!H83</f>
        <v/>
      </c>
      <c r="D84" s="9">
        <f>MFD!J83</f>
        <v/>
      </c>
      <c r="E84" s="9">
        <f>E83+D84</f>
        <v/>
      </c>
      <c r="G84" s="6" t="n">
        <v>74</v>
      </c>
      <c r="H84" s="28">
        <f>IF(74&lt;$H$3,$H$6+74*$H$5,"")</f>
        <v/>
      </c>
      <c r="I84" s="6">
        <f>IF(H84="","",MIN(391,MATCH(H84,$E$4:$E$394,1)+1))</f>
        <v/>
      </c>
      <c r="J84" s="29">
        <f>IF(I84="","",INDEX($B$4:$B$394,I84))</f>
        <v/>
      </c>
      <c r="K84" s="29">
        <f>IF(I84="","",INDEX($C$4:$C$394,I84))</f>
        <v/>
      </c>
    </row>
    <row r="85">
      <c r="A85" s="6">
        <f>ROW()-3</f>
        <v/>
      </c>
      <c r="B85" s="16">
        <f>MFD!E84</f>
        <v/>
      </c>
      <c r="C85" s="16">
        <f>MFD!H84</f>
        <v/>
      </c>
      <c r="D85" s="9">
        <f>MFD!J84</f>
        <v/>
      </c>
      <c r="E85" s="9">
        <f>E84+D85</f>
        <v/>
      </c>
      <c r="G85" s="6" t="n">
        <v>75</v>
      </c>
      <c r="H85" s="28">
        <f>IF(75&lt;$H$3,$H$6+75*$H$5,"")</f>
        <v/>
      </c>
      <c r="I85" s="6">
        <f>IF(H85="","",MIN(391,MATCH(H85,$E$4:$E$394,1)+1))</f>
        <v/>
      </c>
      <c r="J85" s="29">
        <f>IF(I85="","",INDEX($B$4:$B$394,I85))</f>
        <v/>
      </c>
      <c r="K85" s="29">
        <f>IF(I85="","",INDEX($C$4:$C$394,I85))</f>
        <v/>
      </c>
    </row>
    <row r="86">
      <c r="A86" s="6">
        <f>ROW()-3</f>
        <v/>
      </c>
      <c r="B86" s="16">
        <f>MFD!E85</f>
        <v/>
      </c>
      <c r="C86" s="16">
        <f>MFD!H85</f>
        <v/>
      </c>
      <c r="D86" s="9">
        <f>MFD!J85</f>
        <v/>
      </c>
      <c r="E86" s="9">
        <f>E85+D86</f>
        <v/>
      </c>
      <c r="G86" s="6" t="n">
        <v>76</v>
      </c>
      <c r="H86" s="28">
        <f>IF(76&lt;$H$3,$H$6+76*$H$5,"")</f>
        <v/>
      </c>
      <c r="I86" s="6">
        <f>IF(H86="","",MIN(391,MATCH(H86,$E$4:$E$394,1)+1))</f>
        <v/>
      </c>
      <c r="J86" s="29">
        <f>IF(I86="","",INDEX($B$4:$B$394,I86))</f>
        <v/>
      </c>
      <c r="K86" s="29">
        <f>IF(I86="","",INDEX($C$4:$C$394,I86))</f>
        <v/>
      </c>
    </row>
    <row r="87">
      <c r="A87" s="6">
        <f>ROW()-3</f>
        <v/>
      </c>
      <c r="B87" s="16">
        <f>MFD!E86</f>
        <v/>
      </c>
      <c r="C87" s="16">
        <f>MFD!H86</f>
        <v/>
      </c>
      <c r="D87" s="9">
        <f>MFD!J86</f>
        <v/>
      </c>
      <c r="E87" s="9">
        <f>E86+D87</f>
        <v/>
      </c>
      <c r="G87" s="6" t="n">
        <v>77</v>
      </c>
      <c r="H87" s="28">
        <f>IF(77&lt;$H$3,$H$6+77*$H$5,"")</f>
        <v/>
      </c>
      <c r="I87" s="6">
        <f>IF(H87="","",MIN(391,MATCH(H87,$E$4:$E$394,1)+1))</f>
        <v/>
      </c>
      <c r="J87" s="29">
        <f>IF(I87="","",INDEX($B$4:$B$394,I87))</f>
        <v/>
      </c>
      <c r="K87" s="29">
        <f>IF(I87="","",INDEX($C$4:$C$394,I87))</f>
        <v/>
      </c>
    </row>
    <row r="88">
      <c r="A88" s="6">
        <f>ROW()-3</f>
        <v/>
      </c>
      <c r="B88" s="16">
        <f>MFD!E87</f>
        <v/>
      </c>
      <c r="C88" s="16">
        <f>MFD!H87</f>
        <v/>
      </c>
      <c r="D88" s="9">
        <f>MFD!J87</f>
        <v/>
      </c>
      <c r="E88" s="9">
        <f>E87+D88</f>
        <v/>
      </c>
      <c r="G88" s="6" t="n">
        <v>78</v>
      </c>
      <c r="H88" s="28">
        <f>IF(78&lt;$H$3,$H$6+78*$H$5,"")</f>
        <v/>
      </c>
      <c r="I88" s="6">
        <f>IF(H88="","",MIN(391,MATCH(H88,$E$4:$E$394,1)+1))</f>
        <v/>
      </c>
      <c r="J88" s="29">
        <f>IF(I88="","",INDEX($B$4:$B$394,I88))</f>
        <v/>
      </c>
      <c r="K88" s="29">
        <f>IF(I88="","",INDEX($C$4:$C$394,I88))</f>
        <v/>
      </c>
    </row>
    <row r="89">
      <c r="A89" s="6">
        <f>ROW()-3</f>
        <v/>
      </c>
      <c r="B89" s="16">
        <f>MFD!E88</f>
        <v/>
      </c>
      <c r="C89" s="16">
        <f>MFD!H88</f>
        <v/>
      </c>
      <c r="D89" s="9">
        <f>MFD!J88</f>
        <v/>
      </c>
      <c r="E89" s="9">
        <f>E88+D89</f>
        <v/>
      </c>
      <c r="G89" s="6" t="n">
        <v>79</v>
      </c>
      <c r="H89" s="28">
        <f>IF(79&lt;$H$3,$H$6+79*$H$5,"")</f>
        <v/>
      </c>
      <c r="I89" s="6">
        <f>IF(H89="","",MIN(391,MATCH(H89,$E$4:$E$394,1)+1))</f>
        <v/>
      </c>
      <c r="J89" s="29">
        <f>IF(I89="","",INDEX($B$4:$B$394,I89))</f>
        <v/>
      </c>
      <c r="K89" s="29">
        <f>IF(I89="","",INDEX($C$4:$C$394,I89))</f>
        <v/>
      </c>
    </row>
    <row r="90">
      <c r="A90" s="6">
        <f>ROW()-3</f>
        <v/>
      </c>
      <c r="B90" s="16">
        <f>MFD!E89</f>
        <v/>
      </c>
      <c r="C90" s="16">
        <f>MFD!H89</f>
        <v/>
      </c>
      <c r="D90" s="9">
        <f>MFD!J89</f>
        <v/>
      </c>
      <c r="E90" s="9">
        <f>E89+D90</f>
        <v/>
      </c>
      <c r="G90" s="6" t="n">
        <v>80</v>
      </c>
      <c r="H90" s="28">
        <f>IF(80&lt;$H$3,$H$6+80*$H$5,"")</f>
        <v/>
      </c>
      <c r="I90" s="6">
        <f>IF(H90="","",MIN(391,MATCH(H90,$E$4:$E$394,1)+1))</f>
        <v/>
      </c>
      <c r="J90" s="29">
        <f>IF(I90="","",INDEX($B$4:$B$394,I90))</f>
        <v/>
      </c>
      <c r="K90" s="29">
        <f>IF(I90="","",INDEX($C$4:$C$394,I90))</f>
        <v/>
      </c>
    </row>
    <row r="91">
      <c r="A91" s="6">
        <f>ROW()-3</f>
        <v/>
      </c>
      <c r="B91" s="16">
        <f>MFD!E90</f>
        <v/>
      </c>
      <c r="C91" s="16">
        <f>MFD!H90</f>
        <v/>
      </c>
      <c r="D91" s="9">
        <f>MFD!J90</f>
        <v/>
      </c>
      <c r="E91" s="9">
        <f>E90+D91</f>
        <v/>
      </c>
      <c r="G91" s="6" t="n">
        <v>81</v>
      </c>
      <c r="H91" s="28">
        <f>IF(81&lt;$H$3,$H$6+81*$H$5,"")</f>
        <v/>
      </c>
      <c r="I91" s="6">
        <f>IF(H91="","",MIN(391,MATCH(H91,$E$4:$E$394,1)+1))</f>
        <v/>
      </c>
      <c r="J91" s="29">
        <f>IF(I91="","",INDEX($B$4:$B$394,I91))</f>
        <v/>
      </c>
      <c r="K91" s="29">
        <f>IF(I91="","",INDEX($C$4:$C$394,I91))</f>
        <v/>
      </c>
    </row>
    <row r="92">
      <c r="A92" s="6">
        <f>ROW()-3</f>
        <v/>
      </c>
      <c r="B92" s="16">
        <f>MFD!E91</f>
        <v/>
      </c>
      <c r="C92" s="16">
        <f>MFD!H91</f>
        <v/>
      </c>
      <c r="D92" s="9">
        <f>MFD!J91</f>
        <v/>
      </c>
      <c r="E92" s="9">
        <f>E91+D92</f>
        <v/>
      </c>
      <c r="G92" s="6" t="n">
        <v>82</v>
      </c>
      <c r="H92" s="28">
        <f>IF(82&lt;$H$3,$H$6+82*$H$5,"")</f>
        <v/>
      </c>
      <c r="I92" s="6">
        <f>IF(H92="","",MIN(391,MATCH(H92,$E$4:$E$394,1)+1))</f>
        <v/>
      </c>
      <c r="J92" s="29">
        <f>IF(I92="","",INDEX($B$4:$B$394,I92))</f>
        <v/>
      </c>
      <c r="K92" s="29">
        <f>IF(I92="","",INDEX($C$4:$C$394,I92))</f>
        <v/>
      </c>
    </row>
    <row r="93">
      <c r="A93" s="6">
        <f>ROW()-3</f>
        <v/>
      </c>
      <c r="B93" s="16">
        <f>MFD!E92</f>
        <v/>
      </c>
      <c r="C93" s="16">
        <f>MFD!H92</f>
        <v/>
      </c>
      <c r="D93" s="9">
        <f>MFD!J92</f>
        <v/>
      </c>
      <c r="E93" s="9">
        <f>E92+D93</f>
        <v/>
      </c>
      <c r="G93" s="6" t="n">
        <v>83</v>
      </c>
      <c r="H93" s="28">
        <f>IF(83&lt;$H$3,$H$6+83*$H$5,"")</f>
        <v/>
      </c>
      <c r="I93" s="6">
        <f>IF(H93="","",MIN(391,MATCH(H93,$E$4:$E$394,1)+1))</f>
        <v/>
      </c>
      <c r="J93" s="29">
        <f>IF(I93="","",INDEX($B$4:$B$394,I93))</f>
        <v/>
      </c>
      <c r="K93" s="29">
        <f>IF(I93="","",INDEX($C$4:$C$394,I93))</f>
        <v/>
      </c>
    </row>
    <row r="94">
      <c r="A94" s="6">
        <f>ROW()-3</f>
        <v/>
      </c>
      <c r="B94" s="16">
        <f>MFD!E93</f>
        <v/>
      </c>
      <c r="C94" s="16">
        <f>MFD!H93</f>
        <v/>
      </c>
      <c r="D94" s="9">
        <f>MFD!J93</f>
        <v/>
      </c>
      <c r="E94" s="9">
        <f>E93+D94</f>
        <v/>
      </c>
      <c r="G94" s="6" t="n">
        <v>84</v>
      </c>
      <c r="H94" s="28">
        <f>IF(84&lt;$H$3,$H$6+84*$H$5,"")</f>
        <v/>
      </c>
      <c r="I94" s="6">
        <f>IF(H94="","",MIN(391,MATCH(H94,$E$4:$E$394,1)+1))</f>
        <v/>
      </c>
      <c r="J94" s="29">
        <f>IF(I94="","",INDEX($B$4:$B$394,I94))</f>
        <v/>
      </c>
      <c r="K94" s="29">
        <f>IF(I94="","",INDEX($C$4:$C$394,I94))</f>
        <v/>
      </c>
    </row>
    <row r="95">
      <c r="A95" s="6">
        <f>ROW()-3</f>
        <v/>
      </c>
      <c r="B95" s="16">
        <f>MFD!E94</f>
        <v/>
      </c>
      <c r="C95" s="16">
        <f>MFD!H94</f>
        <v/>
      </c>
      <c r="D95" s="9">
        <f>MFD!J94</f>
        <v/>
      </c>
      <c r="E95" s="9">
        <f>E94+D95</f>
        <v/>
      </c>
      <c r="G95" s="6" t="n">
        <v>85</v>
      </c>
      <c r="H95" s="28">
        <f>IF(85&lt;$H$3,$H$6+85*$H$5,"")</f>
        <v/>
      </c>
      <c r="I95" s="6">
        <f>IF(H95="","",MIN(391,MATCH(H95,$E$4:$E$394,1)+1))</f>
        <v/>
      </c>
      <c r="J95" s="29">
        <f>IF(I95="","",INDEX($B$4:$B$394,I95))</f>
        <v/>
      </c>
      <c r="K95" s="29">
        <f>IF(I95="","",INDEX($C$4:$C$394,I95))</f>
        <v/>
      </c>
    </row>
    <row r="96">
      <c r="A96" s="6">
        <f>ROW()-3</f>
        <v/>
      </c>
      <c r="B96" s="16">
        <f>MFD!E95</f>
        <v/>
      </c>
      <c r="C96" s="16">
        <f>MFD!H95</f>
        <v/>
      </c>
      <c r="D96" s="9">
        <f>MFD!J95</f>
        <v/>
      </c>
      <c r="E96" s="9">
        <f>E95+D96</f>
        <v/>
      </c>
      <c r="G96" s="6" t="n">
        <v>86</v>
      </c>
      <c r="H96" s="28">
        <f>IF(86&lt;$H$3,$H$6+86*$H$5,"")</f>
        <v/>
      </c>
      <c r="I96" s="6">
        <f>IF(H96="","",MIN(391,MATCH(H96,$E$4:$E$394,1)+1))</f>
        <v/>
      </c>
      <c r="J96" s="29">
        <f>IF(I96="","",INDEX($B$4:$B$394,I96))</f>
        <v/>
      </c>
      <c r="K96" s="29">
        <f>IF(I96="","",INDEX($C$4:$C$394,I96))</f>
        <v/>
      </c>
    </row>
    <row r="97">
      <c r="A97" s="6">
        <f>ROW()-3</f>
        <v/>
      </c>
      <c r="B97" s="16">
        <f>MFD!E96</f>
        <v/>
      </c>
      <c r="C97" s="16">
        <f>MFD!H96</f>
        <v/>
      </c>
      <c r="D97" s="9">
        <f>MFD!J96</f>
        <v/>
      </c>
      <c r="E97" s="9">
        <f>E96+D97</f>
        <v/>
      </c>
      <c r="G97" s="6" t="n">
        <v>87</v>
      </c>
      <c r="H97" s="28">
        <f>IF(87&lt;$H$3,$H$6+87*$H$5,"")</f>
        <v/>
      </c>
      <c r="I97" s="6">
        <f>IF(H97="","",MIN(391,MATCH(H97,$E$4:$E$394,1)+1))</f>
        <v/>
      </c>
      <c r="J97" s="29">
        <f>IF(I97="","",INDEX($B$4:$B$394,I97))</f>
        <v/>
      </c>
      <c r="K97" s="29">
        <f>IF(I97="","",INDEX($C$4:$C$394,I97))</f>
        <v/>
      </c>
    </row>
    <row r="98">
      <c r="A98" s="6">
        <f>ROW()-3</f>
        <v/>
      </c>
      <c r="B98" s="16">
        <f>MFD!E97</f>
        <v/>
      </c>
      <c r="C98" s="16">
        <f>MFD!H97</f>
        <v/>
      </c>
      <c r="D98" s="9">
        <f>MFD!J97</f>
        <v/>
      </c>
      <c r="E98" s="9">
        <f>E97+D98</f>
        <v/>
      </c>
      <c r="G98" s="6" t="n">
        <v>88</v>
      </c>
      <c r="H98" s="28">
        <f>IF(88&lt;$H$3,$H$6+88*$H$5,"")</f>
        <v/>
      </c>
      <c r="I98" s="6">
        <f>IF(H98="","",MIN(391,MATCH(H98,$E$4:$E$394,1)+1))</f>
        <v/>
      </c>
      <c r="J98" s="29">
        <f>IF(I98="","",INDEX($B$4:$B$394,I98))</f>
        <v/>
      </c>
      <c r="K98" s="29">
        <f>IF(I98="","",INDEX($C$4:$C$394,I98))</f>
        <v/>
      </c>
    </row>
    <row r="99">
      <c r="A99" s="6">
        <f>ROW()-3</f>
        <v/>
      </c>
      <c r="B99" s="16">
        <f>MFD!E98</f>
        <v/>
      </c>
      <c r="C99" s="16">
        <f>MFD!H98</f>
        <v/>
      </c>
      <c r="D99" s="9">
        <f>MFD!J98</f>
        <v/>
      </c>
      <c r="E99" s="9">
        <f>E98+D99</f>
        <v/>
      </c>
      <c r="G99" s="6" t="n">
        <v>89</v>
      </c>
      <c r="H99" s="28">
        <f>IF(89&lt;$H$3,$H$6+89*$H$5,"")</f>
        <v/>
      </c>
      <c r="I99" s="6">
        <f>IF(H99="","",MIN(391,MATCH(H99,$E$4:$E$394,1)+1))</f>
        <v/>
      </c>
      <c r="J99" s="29">
        <f>IF(I99="","",INDEX($B$4:$B$394,I99))</f>
        <v/>
      </c>
      <c r="K99" s="29">
        <f>IF(I99="","",INDEX($C$4:$C$394,I99))</f>
        <v/>
      </c>
    </row>
    <row r="100">
      <c r="A100" s="6">
        <f>ROW()-3</f>
        <v/>
      </c>
      <c r="B100" s="16">
        <f>MFD!E99</f>
        <v/>
      </c>
      <c r="C100" s="16">
        <f>MFD!H99</f>
        <v/>
      </c>
      <c r="D100" s="9">
        <f>MFD!J99</f>
        <v/>
      </c>
      <c r="E100" s="9">
        <f>E99+D100</f>
        <v/>
      </c>
      <c r="G100" s="6" t="n">
        <v>90</v>
      </c>
      <c r="H100" s="28">
        <f>IF(90&lt;$H$3,$H$6+90*$H$5,"")</f>
        <v/>
      </c>
      <c r="I100" s="6">
        <f>IF(H100="","",MIN(391,MATCH(H100,$E$4:$E$394,1)+1))</f>
        <v/>
      </c>
      <c r="J100" s="29">
        <f>IF(I100="","",INDEX($B$4:$B$394,I100))</f>
        <v/>
      </c>
      <c r="K100" s="29">
        <f>IF(I100="","",INDEX($C$4:$C$394,I100))</f>
        <v/>
      </c>
    </row>
    <row r="101">
      <c r="A101" s="6">
        <f>ROW()-3</f>
        <v/>
      </c>
      <c r="B101" s="16">
        <f>MFD!E100</f>
        <v/>
      </c>
      <c r="C101" s="16">
        <f>MFD!H100</f>
        <v/>
      </c>
      <c r="D101" s="9">
        <f>MFD!J100</f>
        <v/>
      </c>
      <c r="E101" s="9">
        <f>E100+D101</f>
        <v/>
      </c>
      <c r="G101" s="6" t="n">
        <v>91</v>
      </c>
      <c r="H101" s="28">
        <f>IF(91&lt;$H$3,$H$6+91*$H$5,"")</f>
        <v/>
      </c>
      <c r="I101" s="6">
        <f>IF(H101="","",MIN(391,MATCH(H101,$E$4:$E$394,1)+1))</f>
        <v/>
      </c>
      <c r="J101" s="29">
        <f>IF(I101="","",INDEX($B$4:$B$394,I101))</f>
        <v/>
      </c>
      <c r="K101" s="29">
        <f>IF(I101="","",INDEX($C$4:$C$394,I101))</f>
        <v/>
      </c>
    </row>
    <row r="102">
      <c r="A102" s="6">
        <f>ROW()-3</f>
        <v/>
      </c>
      <c r="B102" s="16">
        <f>MFD!E101</f>
        <v/>
      </c>
      <c r="C102" s="16">
        <f>MFD!H101</f>
        <v/>
      </c>
      <c r="D102" s="9">
        <f>MFD!J101</f>
        <v/>
      </c>
      <c r="E102" s="9">
        <f>E101+D102</f>
        <v/>
      </c>
      <c r="G102" s="6" t="n">
        <v>92</v>
      </c>
      <c r="H102" s="28">
        <f>IF(92&lt;$H$3,$H$6+92*$H$5,"")</f>
        <v/>
      </c>
      <c r="I102" s="6">
        <f>IF(H102="","",MIN(391,MATCH(H102,$E$4:$E$394,1)+1))</f>
        <v/>
      </c>
      <c r="J102" s="29">
        <f>IF(I102="","",INDEX($B$4:$B$394,I102))</f>
        <v/>
      </c>
      <c r="K102" s="29">
        <f>IF(I102="","",INDEX($C$4:$C$394,I102))</f>
        <v/>
      </c>
    </row>
    <row r="103">
      <c r="A103" s="6">
        <f>ROW()-3</f>
        <v/>
      </c>
      <c r="B103" s="16">
        <f>MFD!E102</f>
        <v/>
      </c>
      <c r="C103" s="16">
        <f>MFD!H102</f>
        <v/>
      </c>
      <c r="D103" s="9">
        <f>MFD!J102</f>
        <v/>
      </c>
      <c r="E103" s="9">
        <f>E102+D103</f>
        <v/>
      </c>
      <c r="G103" s="6" t="n">
        <v>93</v>
      </c>
      <c r="H103" s="28">
        <f>IF(93&lt;$H$3,$H$6+93*$H$5,"")</f>
        <v/>
      </c>
      <c r="I103" s="6">
        <f>IF(H103="","",MIN(391,MATCH(H103,$E$4:$E$394,1)+1))</f>
        <v/>
      </c>
      <c r="J103" s="29">
        <f>IF(I103="","",INDEX($B$4:$B$394,I103))</f>
        <v/>
      </c>
      <c r="K103" s="29">
        <f>IF(I103="","",INDEX($C$4:$C$394,I103))</f>
        <v/>
      </c>
    </row>
    <row r="104">
      <c r="A104" s="6">
        <f>ROW()-3</f>
        <v/>
      </c>
      <c r="B104" s="16">
        <f>MFD!E103</f>
        <v/>
      </c>
      <c r="C104" s="16">
        <f>MFD!H103</f>
        <v/>
      </c>
      <c r="D104" s="9">
        <f>MFD!J103</f>
        <v/>
      </c>
      <c r="E104" s="9">
        <f>E103+D104</f>
        <v/>
      </c>
      <c r="G104" s="6" t="n">
        <v>94</v>
      </c>
      <c r="H104" s="28">
        <f>IF(94&lt;$H$3,$H$6+94*$H$5,"")</f>
        <v/>
      </c>
      <c r="I104" s="6">
        <f>IF(H104="","",MIN(391,MATCH(H104,$E$4:$E$394,1)+1))</f>
        <v/>
      </c>
      <c r="J104" s="29">
        <f>IF(I104="","",INDEX($B$4:$B$394,I104))</f>
        <v/>
      </c>
      <c r="K104" s="29">
        <f>IF(I104="","",INDEX($C$4:$C$394,I104))</f>
        <v/>
      </c>
    </row>
    <row r="105">
      <c r="A105" s="6">
        <f>ROW()-3</f>
        <v/>
      </c>
      <c r="B105" s="16">
        <f>MFD!E104</f>
        <v/>
      </c>
      <c r="C105" s="16">
        <f>MFD!H104</f>
        <v/>
      </c>
      <c r="D105" s="9">
        <f>MFD!J104</f>
        <v/>
      </c>
      <c r="E105" s="9">
        <f>E104+D105</f>
        <v/>
      </c>
      <c r="G105" s="6" t="n">
        <v>95</v>
      </c>
      <c r="H105" s="28">
        <f>IF(95&lt;$H$3,$H$6+95*$H$5,"")</f>
        <v/>
      </c>
      <c r="I105" s="6">
        <f>IF(H105="","",MIN(391,MATCH(H105,$E$4:$E$394,1)+1))</f>
        <v/>
      </c>
      <c r="J105" s="29">
        <f>IF(I105="","",INDEX($B$4:$B$394,I105))</f>
        <v/>
      </c>
      <c r="K105" s="29">
        <f>IF(I105="","",INDEX($C$4:$C$394,I105))</f>
        <v/>
      </c>
    </row>
    <row r="106">
      <c r="A106" s="6">
        <f>ROW()-3</f>
        <v/>
      </c>
      <c r="B106" s="16">
        <f>MFD!E105</f>
        <v/>
      </c>
      <c r="C106" s="16">
        <f>MFD!H105</f>
        <v/>
      </c>
      <c r="D106" s="9">
        <f>MFD!J105</f>
        <v/>
      </c>
      <c r="E106" s="9">
        <f>E105+D106</f>
        <v/>
      </c>
      <c r="G106" s="6" t="n">
        <v>96</v>
      </c>
      <c r="H106" s="28">
        <f>IF(96&lt;$H$3,$H$6+96*$H$5,"")</f>
        <v/>
      </c>
      <c r="I106" s="6">
        <f>IF(H106="","",MIN(391,MATCH(H106,$E$4:$E$394,1)+1))</f>
        <v/>
      </c>
      <c r="J106" s="29">
        <f>IF(I106="","",INDEX($B$4:$B$394,I106))</f>
        <v/>
      </c>
      <c r="K106" s="29">
        <f>IF(I106="","",INDEX($C$4:$C$394,I106))</f>
        <v/>
      </c>
    </row>
    <row r="107">
      <c r="A107" s="6">
        <f>ROW()-3</f>
        <v/>
      </c>
      <c r="B107" s="16">
        <f>MFD!E106</f>
        <v/>
      </c>
      <c r="C107" s="16">
        <f>MFD!H106</f>
        <v/>
      </c>
      <c r="D107" s="9">
        <f>MFD!J106</f>
        <v/>
      </c>
      <c r="E107" s="9">
        <f>E106+D107</f>
        <v/>
      </c>
      <c r="G107" s="6" t="n">
        <v>97</v>
      </c>
      <c r="H107" s="28">
        <f>IF(97&lt;$H$3,$H$6+97*$H$5,"")</f>
        <v/>
      </c>
      <c r="I107" s="6">
        <f>IF(H107="","",MIN(391,MATCH(H107,$E$4:$E$394,1)+1))</f>
        <v/>
      </c>
      <c r="J107" s="29">
        <f>IF(I107="","",INDEX($B$4:$B$394,I107))</f>
        <v/>
      </c>
      <c r="K107" s="29">
        <f>IF(I107="","",INDEX($C$4:$C$394,I107))</f>
        <v/>
      </c>
    </row>
    <row r="108">
      <c r="A108" s="6">
        <f>ROW()-3</f>
        <v/>
      </c>
      <c r="B108" s="16">
        <f>MFD!E107</f>
        <v/>
      </c>
      <c r="C108" s="16">
        <f>MFD!H107</f>
        <v/>
      </c>
      <c r="D108" s="9">
        <f>MFD!J107</f>
        <v/>
      </c>
      <c r="E108" s="9">
        <f>E107+D108</f>
        <v/>
      </c>
      <c r="G108" s="6" t="n">
        <v>98</v>
      </c>
      <c r="H108" s="28">
        <f>IF(98&lt;$H$3,$H$6+98*$H$5,"")</f>
        <v/>
      </c>
      <c r="I108" s="6">
        <f>IF(H108="","",MIN(391,MATCH(H108,$E$4:$E$394,1)+1))</f>
        <v/>
      </c>
      <c r="J108" s="29">
        <f>IF(I108="","",INDEX($B$4:$B$394,I108))</f>
        <v/>
      </c>
      <c r="K108" s="29">
        <f>IF(I108="","",INDEX($C$4:$C$394,I108))</f>
        <v/>
      </c>
    </row>
    <row r="109">
      <c r="A109" s="6">
        <f>ROW()-3</f>
        <v/>
      </c>
      <c r="B109" s="16">
        <f>MFD!E108</f>
        <v/>
      </c>
      <c r="C109" s="16">
        <f>MFD!H108</f>
        <v/>
      </c>
      <c r="D109" s="9">
        <f>MFD!J108</f>
        <v/>
      </c>
      <c r="E109" s="9">
        <f>E108+D109</f>
        <v/>
      </c>
      <c r="G109" s="6" t="n">
        <v>99</v>
      </c>
      <c r="H109" s="28">
        <f>IF(99&lt;$H$3,$H$6+99*$H$5,"")</f>
        <v/>
      </c>
      <c r="I109" s="6">
        <f>IF(H109="","",MIN(391,MATCH(H109,$E$4:$E$394,1)+1))</f>
        <v/>
      </c>
      <c r="J109" s="29">
        <f>IF(I109="","",INDEX($B$4:$B$394,I109))</f>
        <v/>
      </c>
      <c r="K109" s="29">
        <f>IF(I109="","",INDEX($C$4:$C$394,I109))</f>
        <v/>
      </c>
    </row>
    <row r="110">
      <c r="A110" s="6">
        <f>ROW()-3</f>
        <v/>
      </c>
      <c r="B110" s="16">
        <f>MFD!E109</f>
        <v/>
      </c>
      <c r="C110" s="16">
        <f>MFD!H109</f>
        <v/>
      </c>
      <c r="D110" s="9">
        <f>MFD!J109</f>
        <v/>
      </c>
      <c r="E110" s="9">
        <f>E109+D110</f>
        <v/>
      </c>
      <c r="G110" s="6" t="n">
        <v>100</v>
      </c>
      <c r="H110" s="28">
        <f>IF(100&lt;$H$3,$H$6+100*$H$5,"")</f>
        <v/>
      </c>
      <c r="I110" s="6">
        <f>IF(H110="","",MIN(391,MATCH(H110,$E$4:$E$394,1)+1))</f>
        <v/>
      </c>
      <c r="J110" s="29">
        <f>IF(I110="","",INDEX($B$4:$B$394,I110))</f>
        <v/>
      </c>
      <c r="K110" s="29">
        <f>IF(I110="","",INDEX($C$4:$C$394,I110))</f>
        <v/>
      </c>
    </row>
    <row r="111">
      <c r="A111" s="6">
        <f>ROW()-3</f>
        <v/>
      </c>
      <c r="B111" s="16">
        <f>MFD!E110</f>
        <v/>
      </c>
      <c r="C111" s="16">
        <f>MFD!H110</f>
        <v/>
      </c>
      <c r="D111" s="9">
        <f>MFD!J110</f>
        <v/>
      </c>
      <c r="E111" s="9">
        <f>E110+D111</f>
        <v/>
      </c>
      <c r="G111" s="6" t="n">
        <v>101</v>
      </c>
      <c r="H111" s="28">
        <f>IF(101&lt;$H$3,$H$6+101*$H$5,"")</f>
        <v/>
      </c>
      <c r="I111" s="6">
        <f>IF(H111="","",MIN(391,MATCH(H111,$E$4:$E$394,1)+1))</f>
        <v/>
      </c>
      <c r="J111" s="29">
        <f>IF(I111="","",INDEX($B$4:$B$394,I111))</f>
        <v/>
      </c>
      <c r="K111" s="29">
        <f>IF(I111="","",INDEX($C$4:$C$394,I111))</f>
        <v/>
      </c>
    </row>
    <row r="112">
      <c r="A112" s="6">
        <f>ROW()-3</f>
        <v/>
      </c>
      <c r="B112" s="16">
        <f>MFD!E111</f>
        <v/>
      </c>
      <c r="C112" s="16">
        <f>MFD!H111</f>
        <v/>
      </c>
      <c r="D112" s="9">
        <f>MFD!J111</f>
        <v/>
      </c>
      <c r="E112" s="9">
        <f>E111+D112</f>
        <v/>
      </c>
      <c r="G112" s="6" t="n">
        <v>102</v>
      </c>
      <c r="H112" s="28">
        <f>IF(102&lt;$H$3,$H$6+102*$H$5,"")</f>
        <v/>
      </c>
      <c r="I112" s="6">
        <f>IF(H112="","",MIN(391,MATCH(H112,$E$4:$E$394,1)+1))</f>
        <v/>
      </c>
      <c r="J112" s="29">
        <f>IF(I112="","",INDEX($B$4:$B$394,I112))</f>
        <v/>
      </c>
      <c r="K112" s="29">
        <f>IF(I112="","",INDEX($C$4:$C$394,I112))</f>
        <v/>
      </c>
    </row>
    <row r="113">
      <c r="A113" s="6">
        <f>ROW()-3</f>
        <v/>
      </c>
      <c r="B113" s="16">
        <f>MFD!E112</f>
        <v/>
      </c>
      <c r="C113" s="16">
        <f>MFD!H112</f>
        <v/>
      </c>
      <c r="D113" s="9">
        <f>MFD!J112</f>
        <v/>
      </c>
      <c r="E113" s="9">
        <f>E112+D113</f>
        <v/>
      </c>
      <c r="G113" s="6" t="n">
        <v>103</v>
      </c>
      <c r="H113" s="28">
        <f>IF(103&lt;$H$3,$H$6+103*$H$5,"")</f>
        <v/>
      </c>
      <c r="I113" s="6">
        <f>IF(H113="","",MIN(391,MATCH(H113,$E$4:$E$394,1)+1))</f>
        <v/>
      </c>
      <c r="J113" s="29">
        <f>IF(I113="","",INDEX($B$4:$B$394,I113))</f>
        <v/>
      </c>
      <c r="K113" s="29">
        <f>IF(I113="","",INDEX($C$4:$C$394,I113))</f>
        <v/>
      </c>
    </row>
    <row r="114">
      <c r="A114" s="6">
        <f>ROW()-3</f>
        <v/>
      </c>
      <c r="B114" s="16">
        <f>MFD!E113</f>
        <v/>
      </c>
      <c r="C114" s="16">
        <f>MFD!H113</f>
        <v/>
      </c>
      <c r="D114" s="9">
        <f>MFD!J113</f>
        <v/>
      </c>
      <c r="E114" s="9">
        <f>E113+D114</f>
        <v/>
      </c>
      <c r="G114" s="6" t="n">
        <v>104</v>
      </c>
      <c r="H114" s="28">
        <f>IF(104&lt;$H$3,$H$6+104*$H$5,"")</f>
        <v/>
      </c>
      <c r="I114" s="6">
        <f>IF(H114="","",MIN(391,MATCH(H114,$E$4:$E$394,1)+1))</f>
        <v/>
      </c>
      <c r="J114" s="29">
        <f>IF(I114="","",INDEX($B$4:$B$394,I114))</f>
        <v/>
      </c>
      <c r="K114" s="29">
        <f>IF(I114="","",INDEX($C$4:$C$394,I114))</f>
        <v/>
      </c>
    </row>
    <row r="115">
      <c r="A115" s="6">
        <f>ROW()-3</f>
        <v/>
      </c>
      <c r="B115" s="16">
        <f>MFD!E114</f>
        <v/>
      </c>
      <c r="C115" s="16">
        <f>MFD!H114</f>
        <v/>
      </c>
      <c r="D115" s="9">
        <f>MFD!J114</f>
        <v/>
      </c>
      <c r="E115" s="9">
        <f>E114+D115</f>
        <v/>
      </c>
      <c r="G115" s="6" t="n">
        <v>105</v>
      </c>
      <c r="H115" s="28">
        <f>IF(105&lt;$H$3,$H$6+105*$H$5,"")</f>
        <v/>
      </c>
      <c r="I115" s="6">
        <f>IF(H115="","",MIN(391,MATCH(H115,$E$4:$E$394,1)+1))</f>
        <v/>
      </c>
      <c r="J115" s="29">
        <f>IF(I115="","",INDEX($B$4:$B$394,I115))</f>
        <v/>
      </c>
      <c r="K115" s="29">
        <f>IF(I115="","",INDEX($C$4:$C$394,I115))</f>
        <v/>
      </c>
    </row>
    <row r="116">
      <c r="A116" s="6">
        <f>ROW()-3</f>
        <v/>
      </c>
      <c r="B116" s="16">
        <f>MFD!E115</f>
        <v/>
      </c>
      <c r="C116" s="16">
        <f>MFD!H115</f>
        <v/>
      </c>
      <c r="D116" s="9">
        <f>MFD!J115</f>
        <v/>
      </c>
      <c r="E116" s="9">
        <f>E115+D116</f>
        <v/>
      </c>
      <c r="G116" s="6" t="n">
        <v>106</v>
      </c>
      <c r="H116" s="28">
        <f>IF(106&lt;$H$3,$H$6+106*$H$5,"")</f>
        <v/>
      </c>
      <c r="I116" s="6">
        <f>IF(H116="","",MIN(391,MATCH(H116,$E$4:$E$394,1)+1))</f>
        <v/>
      </c>
      <c r="J116" s="29">
        <f>IF(I116="","",INDEX($B$4:$B$394,I116))</f>
        <v/>
      </c>
      <c r="K116" s="29">
        <f>IF(I116="","",INDEX($C$4:$C$394,I116))</f>
        <v/>
      </c>
    </row>
    <row r="117">
      <c r="A117" s="6">
        <f>ROW()-3</f>
        <v/>
      </c>
      <c r="B117" s="16">
        <f>MFD!E116</f>
        <v/>
      </c>
      <c r="C117" s="16">
        <f>MFD!H116</f>
        <v/>
      </c>
      <c r="D117" s="9">
        <f>MFD!J116</f>
        <v/>
      </c>
      <c r="E117" s="9">
        <f>E116+D117</f>
        <v/>
      </c>
      <c r="G117" s="6" t="n">
        <v>107</v>
      </c>
      <c r="H117" s="28">
        <f>IF(107&lt;$H$3,$H$6+107*$H$5,"")</f>
        <v/>
      </c>
      <c r="I117" s="6">
        <f>IF(H117="","",MIN(391,MATCH(H117,$E$4:$E$394,1)+1))</f>
        <v/>
      </c>
      <c r="J117" s="29">
        <f>IF(I117="","",INDEX($B$4:$B$394,I117))</f>
        <v/>
      </c>
      <c r="K117" s="29">
        <f>IF(I117="","",INDEX($C$4:$C$394,I117))</f>
        <v/>
      </c>
    </row>
    <row r="118">
      <c r="A118" s="6">
        <f>ROW()-3</f>
        <v/>
      </c>
      <c r="B118" s="16">
        <f>MFD!E117</f>
        <v/>
      </c>
      <c r="C118" s="16">
        <f>MFD!H117</f>
        <v/>
      </c>
      <c r="D118" s="9">
        <f>MFD!J117</f>
        <v/>
      </c>
      <c r="E118" s="9">
        <f>E117+D118</f>
        <v/>
      </c>
      <c r="G118" s="6" t="n">
        <v>108</v>
      </c>
      <c r="H118" s="28">
        <f>IF(108&lt;$H$3,$H$6+108*$H$5,"")</f>
        <v/>
      </c>
      <c r="I118" s="6">
        <f>IF(H118="","",MIN(391,MATCH(H118,$E$4:$E$394,1)+1))</f>
        <v/>
      </c>
      <c r="J118" s="29">
        <f>IF(I118="","",INDEX($B$4:$B$394,I118))</f>
        <v/>
      </c>
      <c r="K118" s="29">
        <f>IF(I118="","",INDEX($C$4:$C$394,I118))</f>
        <v/>
      </c>
    </row>
    <row r="119">
      <c r="A119" s="6">
        <f>ROW()-3</f>
        <v/>
      </c>
      <c r="B119" s="16">
        <f>MFD!E118</f>
        <v/>
      </c>
      <c r="C119" s="16">
        <f>MFD!H118</f>
        <v/>
      </c>
      <c r="D119" s="9">
        <f>MFD!J118</f>
        <v/>
      </c>
      <c r="E119" s="9">
        <f>E118+D119</f>
        <v/>
      </c>
      <c r="G119" s="6" t="n">
        <v>109</v>
      </c>
      <c r="H119" s="28">
        <f>IF(109&lt;$H$3,$H$6+109*$H$5,"")</f>
        <v/>
      </c>
      <c r="I119" s="6">
        <f>IF(H119="","",MIN(391,MATCH(H119,$E$4:$E$394,1)+1))</f>
        <v/>
      </c>
      <c r="J119" s="29">
        <f>IF(I119="","",INDEX($B$4:$B$394,I119))</f>
        <v/>
      </c>
      <c r="K119" s="29">
        <f>IF(I119="","",INDEX($C$4:$C$394,I119))</f>
        <v/>
      </c>
    </row>
    <row r="120">
      <c r="A120" s="6">
        <f>ROW()-3</f>
        <v/>
      </c>
      <c r="B120" s="16">
        <f>MFD!E119</f>
        <v/>
      </c>
      <c r="C120" s="16">
        <f>MFD!H119</f>
        <v/>
      </c>
      <c r="D120" s="9">
        <f>MFD!J119</f>
        <v/>
      </c>
      <c r="E120" s="9">
        <f>E119+D120</f>
        <v/>
      </c>
      <c r="G120" s="6" t="n">
        <v>110</v>
      </c>
      <c r="H120" s="28">
        <f>IF(110&lt;$H$3,$H$6+110*$H$5,"")</f>
        <v/>
      </c>
      <c r="I120" s="6">
        <f>IF(H120="","",MIN(391,MATCH(H120,$E$4:$E$394,1)+1))</f>
        <v/>
      </c>
      <c r="J120" s="29">
        <f>IF(I120="","",INDEX($B$4:$B$394,I120))</f>
        <v/>
      </c>
      <c r="K120" s="29">
        <f>IF(I120="","",INDEX($C$4:$C$394,I120))</f>
        <v/>
      </c>
    </row>
    <row r="121">
      <c r="A121" s="6">
        <f>ROW()-3</f>
        <v/>
      </c>
      <c r="B121" s="16">
        <f>MFD!E120</f>
        <v/>
      </c>
      <c r="C121" s="16">
        <f>MFD!H120</f>
        <v/>
      </c>
      <c r="D121" s="9">
        <f>MFD!J120</f>
        <v/>
      </c>
      <c r="E121" s="9">
        <f>E120+D121</f>
        <v/>
      </c>
      <c r="G121" s="6" t="n">
        <v>111</v>
      </c>
      <c r="H121" s="28">
        <f>IF(111&lt;$H$3,$H$6+111*$H$5,"")</f>
        <v/>
      </c>
      <c r="I121" s="6">
        <f>IF(H121="","",MIN(391,MATCH(H121,$E$4:$E$394,1)+1))</f>
        <v/>
      </c>
      <c r="J121" s="29">
        <f>IF(I121="","",INDEX($B$4:$B$394,I121))</f>
        <v/>
      </c>
      <c r="K121" s="29">
        <f>IF(I121="","",INDEX($C$4:$C$394,I121))</f>
        <v/>
      </c>
    </row>
    <row r="122">
      <c r="A122" s="6">
        <f>ROW()-3</f>
        <v/>
      </c>
      <c r="B122" s="16">
        <f>MFD!E121</f>
        <v/>
      </c>
      <c r="C122" s="16">
        <f>MFD!H121</f>
        <v/>
      </c>
      <c r="D122" s="9">
        <f>MFD!J121</f>
        <v/>
      </c>
      <c r="E122" s="9">
        <f>E121+D122</f>
        <v/>
      </c>
      <c r="G122" s="6" t="n">
        <v>112</v>
      </c>
      <c r="H122" s="28">
        <f>IF(112&lt;$H$3,$H$6+112*$H$5,"")</f>
        <v/>
      </c>
      <c r="I122" s="6">
        <f>IF(H122="","",MIN(391,MATCH(H122,$E$4:$E$394,1)+1))</f>
        <v/>
      </c>
      <c r="J122" s="29">
        <f>IF(I122="","",INDEX($B$4:$B$394,I122))</f>
        <v/>
      </c>
      <c r="K122" s="29">
        <f>IF(I122="","",INDEX($C$4:$C$394,I122))</f>
        <v/>
      </c>
    </row>
    <row r="123">
      <c r="A123" s="6">
        <f>ROW()-3</f>
        <v/>
      </c>
      <c r="B123" s="16">
        <f>MFD!E122</f>
        <v/>
      </c>
      <c r="C123" s="16">
        <f>MFD!H122</f>
        <v/>
      </c>
      <c r="D123" s="9">
        <f>MFD!J122</f>
        <v/>
      </c>
      <c r="E123" s="9">
        <f>E122+D123</f>
        <v/>
      </c>
      <c r="G123" s="6" t="n">
        <v>113</v>
      </c>
      <c r="H123" s="28">
        <f>IF(113&lt;$H$3,$H$6+113*$H$5,"")</f>
        <v/>
      </c>
      <c r="I123" s="6">
        <f>IF(H123="","",MIN(391,MATCH(H123,$E$4:$E$394,1)+1))</f>
        <v/>
      </c>
      <c r="J123" s="29">
        <f>IF(I123="","",INDEX($B$4:$B$394,I123))</f>
        <v/>
      </c>
      <c r="K123" s="29">
        <f>IF(I123="","",INDEX($C$4:$C$394,I123))</f>
        <v/>
      </c>
    </row>
    <row r="124">
      <c r="A124" s="6">
        <f>ROW()-3</f>
        <v/>
      </c>
      <c r="B124" s="16">
        <f>MFD!E123</f>
        <v/>
      </c>
      <c r="C124" s="16">
        <f>MFD!H123</f>
        <v/>
      </c>
      <c r="D124" s="9">
        <f>MFD!J123</f>
        <v/>
      </c>
      <c r="E124" s="9">
        <f>E123+D124</f>
        <v/>
      </c>
      <c r="G124" s="6" t="n">
        <v>114</v>
      </c>
      <c r="H124" s="28">
        <f>IF(114&lt;$H$3,$H$6+114*$H$5,"")</f>
        <v/>
      </c>
      <c r="I124" s="6">
        <f>IF(H124="","",MIN(391,MATCH(H124,$E$4:$E$394,1)+1))</f>
        <v/>
      </c>
      <c r="J124" s="29">
        <f>IF(I124="","",INDEX($B$4:$B$394,I124))</f>
        <v/>
      </c>
      <c r="K124" s="29">
        <f>IF(I124="","",INDEX($C$4:$C$394,I124))</f>
        <v/>
      </c>
    </row>
    <row r="125">
      <c r="A125" s="6">
        <f>ROW()-3</f>
        <v/>
      </c>
      <c r="B125" s="16">
        <f>MFD!E124</f>
        <v/>
      </c>
      <c r="C125" s="16">
        <f>MFD!H124</f>
        <v/>
      </c>
      <c r="D125" s="9">
        <f>MFD!J124</f>
        <v/>
      </c>
      <c r="E125" s="9">
        <f>E124+D125</f>
        <v/>
      </c>
      <c r="G125" s="6" t="n">
        <v>115</v>
      </c>
      <c r="H125" s="28">
        <f>IF(115&lt;$H$3,$H$6+115*$H$5,"")</f>
        <v/>
      </c>
      <c r="I125" s="6">
        <f>IF(H125="","",MIN(391,MATCH(H125,$E$4:$E$394,1)+1))</f>
        <v/>
      </c>
      <c r="J125" s="29">
        <f>IF(I125="","",INDEX($B$4:$B$394,I125))</f>
        <v/>
      </c>
      <c r="K125" s="29">
        <f>IF(I125="","",INDEX($C$4:$C$394,I125))</f>
        <v/>
      </c>
    </row>
    <row r="126">
      <c r="A126" s="6">
        <f>ROW()-3</f>
        <v/>
      </c>
      <c r="B126" s="16">
        <f>MFD!E125</f>
        <v/>
      </c>
      <c r="C126" s="16">
        <f>MFD!H125</f>
        <v/>
      </c>
      <c r="D126" s="9">
        <f>MFD!J125</f>
        <v/>
      </c>
      <c r="E126" s="9">
        <f>E125+D126</f>
        <v/>
      </c>
      <c r="G126" s="6" t="n">
        <v>116</v>
      </c>
      <c r="H126" s="28">
        <f>IF(116&lt;$H$3,$H$6+116*$H$5,"")</f>
        <v/>
      </c>
      <c r="I126" s="6">
        <f>IF(H126="","",MIN(391,MATCH(H126,$E$4:$E$394,1)+1))</f>
        <v/>
      </c>
      <c r="J126" s="29">
        <f>IF(I126="","",INDEX($B$4:$B$394,I126))</f>
        <v/>
      </c>
      <c r="K126" s="29">
        <f>IF(I126="","",INDEX($C$4:$C$394,I126))</f>
        <v/>
      </c>
    </row>
    <row r="127">
      <c r="A127" s="6">
        <f>ROW()-3</f>
        <v/>
      </c>
      <c r="B127" s="16">
        <f>MFD!E126</f>
        <v/>
      </c>
      <c r="C127" s="16">
        <f>MFD!H126</f>
        <v/>
      </c>
      <c r="D127" s="9">
        <f>MFD!J126</f>
        <v/>
      </c>
      <c r="E127" s="9">
        <f>E126+D127</f>
        <v/>
      </c>
      <c r="G127" s="6" t="n">
        <v>117</v>
      </c>
      <c r="H127" s="28">
        <f>IF(117&lt;$H$3,$H$6+117*$H$5,"")</f>
        <v/>
      </c>
      <c r="I127" s="6">
        <f>IF(H127="","",MIN(391,MATCH(H127,$E$4:$E$394,1)+1))</f>
        <v/>
      </c>
      <c r="J127" s="29">
        <f>IF(I127="","",INDEX($B$4:$B$394,I127))</f>
        <v/>
      </c>
      <c r="K127" s="29">
        <f>IF(I127="","",INDEX($C$4:$C$394,I127))</f>
        <v/>
      </c>
    </row>
    <row r="128">
      <c r="A128" s="6">
        <f>ROW()-3</f>
        <v/>
      </c>
      <c r="B128" s="16">
        <f>MFD!E127</f>
        <v/>
      </c>
      <c r="C128" s="16">
        <f>MFD!H127</f>
        <v/>
      </c>
      <c r="D128" s="9">
        <f>MFD!J127</f>
        <v/>
      </c>
      <c r="E128" s="9">
        <f>E127+D128</f>
        <v/>
      </c>
      <c r="G128" s="6" t="n">
        <v>118</v>
      </c>
      <c r="H128" s="28">
        <f>IF(118&lt;$H$3,$H$6+118*$H$5,"")</f>
        <v/>
      </c>
      <c r="I128" s="6">
        <f>IF(H128="","",MIN(391,MATCH(H128,$E$4:$E$394,1)+1))</f>
        <v/>
      </c>
      <c r="J128" s="29">
        <f>IF(I128="","",INDEX($B$4:$B$394,I128))</f>
        <v/>
      </c>
      <c r="K128" s="29">
        <f>IF(I128="","",INDEX($C$4:$C$394,I128))</f>
        <v/>
      </c>
    </row>
    <row r="129">
      <c r="A129" s="6">
        <f>ROW()-3</f>
        <v/>
      </c>
      <c r="B129" s="16">
        <f>MFD!E128</f>
        <v/>
      </c>
      <c r="C129" s="16">
        <f>MFD!H128</f>
        <v/>
      </c>
      <c r="D129" s="9">
        <f>MFD!J128</f>
        <v/>
      </c>
      <c r="E129" s="9">
        <f>E128+D129</f>
        <v/>
      </c>
      <c r="G129" s="6" t="n">
        <v>119</v>
      </c>
      <c r="H129" s="28">
        <f>IF(119&lt;$H$3,$H$6+119*$H$5,"")</f>
        <v/>
      </c>
      <c r="I129" s="6">
        <f>IF(H129="","",MIN(391,MATCH(H129,$E$4:$E$394,1)+1))</f>
        <v/>
      </c>
      <c r="J129" s="29">
        <f>IF(I129="","",INDEX($B$4:$B$394,I129))</f>
        <v/>
      </c>
      <c r="K129" s="29">
        <f>IF(I129="","",INDEX($C$4:$C$394,I129))</f>
        <v/>
      </c>
    </row>
    <row r="130">
      <c r="A130" s="6">
        <f>ROW()-3</f>
        <v/>
      </c>
      <c r="B130" s="16">
        <f>MFD!E129</f>
        <v/>
      </c>
      <c r="C130" s="16">
        <f>MFD!H129</f>
        <v/>
      </c>
      <c r="D130" s="9">
        <f>MFD!J129</f>
        <v/>
      </c>
      <c r="E130" s="9">
        <f>E129+D130</f>
        <v/>
      </c>
      <c r="G130" s="6" t="n">
        <v>120</v>
      </c>
      <c r="H130" s="28">
        <f>IF(120&lt;$H$3,$H$6+120*$H$5,"")</f>
        <v/>
      </c>
      <c r="I130" s="6">
        <f>IF(H130="","",MIN(391,MATCH(H130,$E$4:$E$394,1)+1))</f>
        <v/>
      </c>
      <c r="J130" s="29">
        <f>IF(I130="","",INDEX($B$4:$B$394,I130))</f>
        <v/>
      </c>
      <c r="K130" s="29">
        <f>IF(I130="","",INDEX($C$4:$C$394,I130))</f>
        <v/>
      </c>
    </row>
    <row r="131">
      <c r="A131" s="6">
        <f>ROW()-3</f>
        <v/>
      </c>
      <c r="B131" s="16">
        <f>MFD!E130</f>
        <v/>
      </c>
      <c r="C131" s="16">
        <f>MFD!H130</f>
        <v/>
      </c>
      <c r="D131" s="9">
        <f>MFD!J130</f>
        <v/>
      </c>
      <c r="E131" s="9">
        <f>E130+D131</f>
        <v/>
      </c>
      <c r="G131" s="6" t="n">
        <v>121</v>
      </c>
      <c r="H131" s="28">
        <f>IF(121&lt;$H$3,$H$6+121*$H$5,"")</f>
        <v/>
      </c>
      <c r="I131" s="6">
        <f>IF(H131="","",MIN(391,MATCH(H131,$E$4:$E$394,1)+1))</f>
        <v/>
      </c>
      <c r="J131" s="29">
        <f>IF(I131="","",INDEX($B$4:$B$394,I131))</f>
        <v/>
      </c>
      <c r="K131" s="29">
        <f>IF(I131="","",INDEX($C$4:$C$394,I131))</f>
        <v/>
      </c>
    </row>
    <row r="132">
      <c r="A132" s="6">
        <f>ROW()-3</f>
        <v/>
      </c>
      <c r="B132" s="16">
        <f>MFD!E131</f>
        <v/>
      </c>
      <c r="C132" s="16">
        <f>MFD!H131</f>
        <v/>
      </c>
      <c r="D132" s="9">
        <f>MFD!J131</f>
        <v/>
      </c>
      <c r="E132" s="9">
        <f>E131+D132</f>
        <v/>
      </c>
      <c r="G132" s="6" t="n">
        <v>122</v>
      </c>
      <c r="H132" s="28">
        <f>IF(122&lt;$H$3,$H$6+122*$H$5,"")</f>
        <v/>
      </c>
      <c r="I132" s="6">
        <f>IF(H132="","",MIN(391,MATCH(H132,$E$4:$E$394,1)+1))</f>
        <v/>
      </c>
      <c r="J132" s="29">
        <f>IF(I132="","",INDEX($B$4:$B$394,I132))</f>
        <v/>
      </c>
      <c r="K132" s="29">
        <f>IF(I132="","",INDEX($C$4:$C$394,I132))</f>
        <v/>
      </c>
    </row>
    <row r="133">
      <c r="A133" s="6">
        <f>ROW()-3</f>
        <v/>
      </c>
      <c r="B133" s="16">
        <f>MFD!E132</f>
        <v/>
      </c>
      <c r="C133" s="16">
        <f>MFD!H132</f>
        <v/>
      </c>
      <c r="D133" s="9">
        <f>MFD!J132</f>
        <v/>
      </c>
      <c r="E133" s="9">
        <f>E132+D133</f>
        <v/>
      </c>
      <c r="G133" s="6" t="n">
        <v>123</v>
      </c>
      <c r="H133" s="28">
        <f>IF(123&lt;$H$3,$H$6+123*$H$5,"")</f>
        <v/>
      </c>
      <c r="I133" s="6">
        <f>IF(H133="","",MIN(391,MATCH(H133,$E$4:$E$394,1)+1))</f>
        <v/>
      </c>
      <c r="J133" s="29">
        <f>IF(I133="","",INDEX($B$4:$B$394,I133))</f>
        <v/>
      </c>
      <c r="K133" s="29">
        <f>IF(I133="","",INDEX($C$4:$C$394,I133))</f>
        <v/>
      </c>
    </row>
    <row r="134">
      <c r="A134" s="6">
        <f>ROW()-3</f>
        <v/>
      </c>
      <c r="B134" s="16">
        <f>MFD!E133</f>
        <v/>
      </c>
      <c r="C134" s="16">
        <f>MFD!H133</f>
        <v/>
      </c>
      <c r="D134" s="9">
        <f>MFD!J133</f>
        <v/>
      </c>
      <c r="E134" s="9">
        <f>E133+D134</f>
        <v/>
      </c>
      <c r="G134" s="6" t="n">
        <v>124</v>
      </c>
      <c r="H134" s="28">
        <f>IF(124&lt;$H$3,$H$6+124*$H$5,"")</f>
        <v/>
      </c>
      <c r="I134" s="6">
        <f>IF(H134="","",MIN(391,MATCH(H134,$E$4:$E$394,1)+1))</f>
        <v/>
      </c>
      <c r="J134" s="29">
        <f>IF(I134="","",INDEX($B$4:$B$394,I134))</f>
        <v/>
      </c>
      <c r="K134" s="29">
        <f>IF(I134="","",INDEX($C$4:$C$394,I134))</f>
        <v/>
      </c>
    </row>
    <row r="135">
      <c r="A135" s="6">
        <f>ROW()-3</f>
        <v/>
      </c>
      <c r="B135" s="16">
        <f>MFD!E134</f>
        <v/>
      </c>
      <c r="C135" s="16">
        <f>MFD!H134</f>
        <v/>
      </c>
      <c r="D135" s="9">
        <f>MFD!J134</f>
        <v/>
      </c>
      <c r="E135" s="9">
        <f>E134+D135</f>
        <v/>
      </c>
      <c r="G135" s="6" t="n">
        <v>125</v>
      </c>
      <c r="H135" s="28">
        <f>IF(125&lt;$H$3,$H$6+125*$H$5,"")</f>
        <v/>
      </c>
      <c r="I135" s="6">
        <f>IF(H135="","",MIN(391,MATCH(H135,$E$4:$E$394,1)+1))</f>
        <v/>
      </c>
      <c r="J135" s="29">
        <f>IF(I135="","",INDEX($B$4:$B$394,I135))</f>
        <v/>
      </c>
      <c r="K135" s="29">
        <f>IF(I135="","",INDEX($C$4:$C$394,I135))</f>
        <v/>
      </c>
    </row>
    <row r="136">
      <c r="A136" s="6">
        <f>ROW()-3</f>
        <v/>
      </c>
      <c r="B136" s="16">
        <f>MFD!E135</f>
        <v/>
      </c>
      <c r="C136" s="16">
        <f>MFD!H135</f>
        <v/>
      </c>
      <c r="D136" s="9">
        <f>MFD!J135</f>
        <v/>
      </c>
      <c r="E136" s="9">
        <f>E135+D136</f>
        <v/>
      </c>
      <c r="G136" s="6" t="n">
        <v>126</v>
      </c>
      <c r="H136" s="28">
        <f>IF(126&lt;$H$3,$H$6+126*$H$5,"")</f>
        <v/>
      </c>
      <c r="I136" s="6">
        <f>IF(H136="","",MIN(391,MATCH(H136,$E$4:$E$394,1)+1))</f>
        <v/>
      </c>
      <c r="J136" s="29">
        <f>IF(I136="","",INDEX($B$4:$B$394,I136))</f>
        <v/>
      </c>
      <c r="K136" s="29">
        <f>IF(I136="","",INDEX($C$4:$C$394,I136))</f>
        <v/>
      </c>
    </row>
    <row r="137">
      <c r="A137" s="6">
        <f>ROW()-3</f>
        <v/>
      </c>
      <c r="B137" s="16">
        <f>MFD!E136</f>
        <v/>
      </c>
      <c r="C137" s="16">
        <f>MFD!H136</f>
        <v/>
      </c>
      <c r="D137" s="9">
        <f>MFD!J136</f>
        <v/>
      </c>
      <c r="E137" s="9">
        <f>E136+D137</f>
        <v/>
      </c>
      <c r="G137" s="6" t="n">
        <v>127</v>
      </c>
      <c r="H137" s="28">
        <f>IF(127&lt;$H$3,$H$6+127*$H$5,"")</f>
        <v/>
      </c>
      <c r="I137" s="6">
        <f>IF(H137="","",MIN(391,MATCH(H137,$E$4:$E$394,1)+1))</f>
        <v/>
      </c>
      <c r="J137" s="29">
        <f>IF(I137="","",INDEX($B$4:$B$394,I137))</f>
        <v/>
      </c>
      <c r="K137" s="29">
        <f>IF(I137="","",INDEX($C$4:$C$394,I137))</f>
        <v/>
      </c>
    </row>
    <row r="138">
      <c r="A138" s="6">
        <f>ROW()-3</f>
        <v/>
      </c>
      <c r="B138" s="16">
        <f>MFD!E137</f>
        <v/>
      </c>
      <c r="C138" s="16">
        <f>MFD!H137</f>
        <v/>
      </c>
      <c r="D138" s="9">
        <f>MFD!J137</f>
        <v/>
      </c>
      <c r="E138" s="9">
        <f>E137+D138</f>
        <v/>
      </c>
      <c r="G138" s="6" t="n">
        <v>128</v>
      </c>
      <c r="H138" s="28">
        <f>IF(128&lt;$H$3,$H$6+128*$H$5,"")</f>
        <v/>
      </c>
      <c r="I138" s="6">
        <f>IF(H138="","",MIN(391,MATCH(H138,$E$4:$E$394,1)+1))</f>
        <v/>
      </c>
      <c r="J138" s="29">
        <f>IF(I138="","",INDEX($B$4:$B$394,I138))</f>
        <v/>
      </c>
      <c r="K138" s="29">
        <f>IF(I138="","",INDEX($C$4:$C$394,I138))</f>
        <v/>
      </c>
    </row>
    <row r="139">
      <c r="A139" s="6">
        <f>ROW()-3</f>
        <v/>
      </c>
      <c r="B139" s="16">
        <f>MFD!E138</f>
        <v/>
      </c>
      <c r="C139" s="16">
        <f>MFD!H138</f>
        <v/>
      </c>
      <c r="D139" s="9">
        <f>MFD!J138</f>
        <v/>
      </c>
      <c r="E139" s="9">
        <f>E138+D139</f>
        <v/>
      </c>
      <c r="G139" s="6" t="n">
        <v>129</v>
      </c>
      <c r="H139" s="28">
        <f>IF(129&lt;$H$3,$H$6+129*$H$5,"")</f>
        <v/>
      </c>
      <c r="I139" s="6">
        <f>IF(H139="","",MIN(391,MATCH(H139,$E$4:$E$394,1)+1))</f>
        <v/>
      </c>
      <c r="J139" s="29">
        <f>IF(I139="","",INDEX($B$4:$B$394,I139))</f>
        <v/>
      </c>
      <c r="K139" s="29">
        <f>IF(I139="","",INDEX($C$4:$C$394,I139))</f>
        <v/>
      </c>
    </row>
    <row r="140">
      <c r="A140" s="6">
        <f>ROW()-3</f>
        <v/>
      </c>
      <c r="B140" s="16">
        <f>MFD!E139</f>
        <v/>
      </c>
      <c r="C140" s="16">
        <f>MFD!H139</f>
        <v/>
      </c>
      <c r="D140" s="9">
        <f>MFD!J139</f>
        <v/>
      </c>
      <c r="E140" s="9">
        <f>E139+D140</f>
        <v/>
      </c>
    </row>
    <row r="141">
      <c r="A141" s="6">
        <f>ROW()-3</f>
        <v/>
      </c>
      <c r="B141" s="16">
        <f>MFD!E140</f>
        <v/>
      </c>
      <c r="C141" s="16">
        <f>MFD!H140</f>
        <v/>
      </c>
      <c r="D141" s="9">
        <f>MFD!J140</f>
        <v/>
      </c>
      <c r="E141" s="9">
        <f>E140+D141</f>
        <v/>
      </c>
      <c r="G141" s="10" t="inlineStr">
        <is>
          <t>Ilustrasi: peluang desa ∝ ukuran → self-weighting bila ukuran per desa asli. Ganti 'start' (kuning) untuk awalan acak. Angka bisa beda tiap MFD.</t>
        </is>
      </c>
    </row>
    <row r="142">
      <c r="A142" s="6">
        <f>ROW()-3</f>
        <v/>
      </c>
      <c r="B142" s="16">
        <f>MFD!E141</f>
        <v/>
      </c>
      <c r="C142" s="16">
        <f>MFD!H141</f>
        <v/>
      </c>
      <c r="D142" s="9">
        <f>MFD!J141</f>
        <v/>
      </c>
      <c r="E142" s="9">
        <f>E141+D142</f>
        <v/>
      </c>
    </row>
    <row r="143">
      <c r="A143" s="6">
        <f>ROW()-3</f>
        <v/>
      </c>
      <c r="B143" s="16">
        <f>MFD!E142</f>
        <v/>
      </c>
      <c r="C143" s="16">
        <f>MFD!H142</f>
        <v/>
      </c>
      <c r="D143" s="9">
        <f>MFD!J142</f>
        <v/>
      </c>
      <c r="E143" s="9">
        <f>E142+D143</f>
        <v/>
      </c>
    </row>
    <row r="144">
      <c r="A144" s="6">
        <f>ROW()-3</f>
        <v/>
      </c>
      <c r="B144" s="16">
        <f>MFD!E143</f>
        <v/>
      </c>
      <c r="C144" s="16">
        <f>MFD!H143</f>
        <v/>
      </c>
      <c r="D144" s="9">
        <f>MFD!J143</f>
        <v/>
      </c>
      <c r="E144" s="9">
        <f>E143+D144</f>
        <v/>
      </c>
    </row>
    <row r="145">
      <c r="A145" s="6">
        <f>ROW()-3</f>
        <v/>
      </c>
      <c r="B145" s="16">
        <f>MFD!E144</f>
        <v/>
      </c>
      <c r="C145" s="16">
        <f>MFD!H144</f>
        <v/>
      </c>
      <c r="D145" s="9">
        <f>MFD!J144</f>
        <v/>
      </c>
      <c r="E145" s="9">
        <f>E144+D145</f>
        <v/>
      </c>
    </row>
    <row r="146">
      <c r="A146" s="6">
        <f>ROW()-3</f>
        <v/>
      </c>
      <c r="B146" s="16">
        <f>MFD!E145</f>
        <v/>
      </c>
      <c r="C146" s="16">
        <f>MFD!H145</f>
        <v/>
      </c>
      <c r="D146" s="9">
        <f>MFD!J145</f>
        <v/>
      </c>
      <c r="E146" s="9">
        <f>E145+D146</f>
        <v/>
      </c>
    </row>
    <row r="147">
      <c r="A147" s="6">
        <f>ROW()-3</f>
        <v/>
      </c>
      <c r="B147" s="16">
        <f>MFD!E146</f>
        <v/>
      </c>
      <c r="C147" s="16">
        <f>MFD!H146</f>
        <v/>
      </c>
      <c r="D147" s="9">
        <f>MFD!J146</f>
        <v/>
      </c>
      <c r="E147" s="9">
        <f>E146+D147</f>
        <v/>
      </c>
    </row>
    <row r="148">
      <c r="A148" s="6">
        <f>ROW()-3</f>
        <v/>
      </c>
      <c r="B148" s="16">
        <f>MFD!E147</f>
        <v/>
      </c>
      <c r="C148" s="16">
        <f>MFD!H147</f>
        <v/>
      </c>
      <c r="D148" s="9">
        <f>MFD!J147</f>
        <v/>
      </c>
      <c r="E148" s="9">
        <f>E147+D148</f>
        <v/>
      </c>
    </row>
    <row r="149">
      <c r="A149" s="6">
        <f>ROW()-3</f>
        <v/>
      </c>
      <c r="B149" s="16">
        <f>MFD!E148</f>
        <v/>
      </c>
      <c r="C149" s="16">
        <f>MFD!H148</f>
        <v/>
      </c>
      <c r="D149" s="9">
        <f>MFD!J148</f>
        <v/>
      </c>
      <c r="E149" s="9">
        <f>E148+D149</f>
        <v/>
      </c>
    </row>
    <row r="150">
      <c r="A150" s="6">
        <f>ROW()-3</f>
        <v/>
      </c>
      <c r="B150" s="16">
        <f>MFD!E149</f>
        <v/>
      </c>
      <c r="C150" s="16">
        <f>MFD!H149</f>
        <v/>
      </c>
      <c r="D150" s="9">
        <f>MFD!J149</f>
        <v/>
      </c>
      <c r="E150" s="9">
        <f>E149+D150</f>
        <v/>
      </c>
    </row>
    <row r="151">
      <c r="A151" s="6">
        <f>ROW()-3</f>
        <v/>
      </c>
      <c r="B151" s="16">
        <f>MFD!E150</f>
        <v/>
      </c>
      <c r="C151" s="16">
        <f>MFD!H150</f>
        <v/>
      </c>
      <c r="D151" s="9">
        <f>MFD!J150</f>
        <v/>
      </c>
      <c r="E151" s="9">
        <f>E150+D151</f>
        <v/>
      </c>
    </row>
    <row r="152">
      <c r="A152" s="6">
        <f>ROW()-3</f>
        <v/>
      </c>
      <c r="B152" s="16">
        <f>MFD!E151</f>
        <v/>
      </c>
      <c r="C152" s="16">
        <f>MFD!H151</f>
        <v/>
      </c>
      <c r="D152" s="9">
        <f>MFD!J151</f>
        <v/>
      </c>
      <c r="E152" s="9">
        <f>E151+D152</f>
        <v/>
      </c>
    </row>
    <row r="153">
      <c r="A153" s="6">
        <f>ROW()-3</f>
        <v/>
      </c>
      <c r="B153" s="16">
        <f>MFD!E152</f>
        <v/>
      </c>
      <c r="C153" s="16">
        <f>MFD!H152</f>
        <v/>
      </c>
      <c r="D153" s="9">
        <f>MFD!J152</f>
        <v/>
      </c>
      <c r="E153" s="9">
        <f>E152+D153</f>
        <v/>
      </c>
    </row>
    <row r="154">
      <c r="A154" s="6">
        <f>ROW()-3</f>
        <v/>
      </c>
      <c r="B154" s="16">
        <f>MFD!E153</f>
        <v/>
      </c>
      <c r="C154" s="16">
        <f>MFD!H153</f>
        <v/>
      </c>
      <c r="D154" s="9">
        <f>MFD!J153</f>
        <v/>
      </c>
      <c r="E154" s="9">
        <f>E153+D154</f>
        <v/>
      </c>
    </row>
    <row r="155">
      <c r="A155" s="6">
        <f>ROW()-3</f>
        <v/>
      </c>
      <c r="B155" s="16">
        <f>MFD!E154</f>
        <v/>
      </c>
      <c r="C155" s="16">
        <f>MFD!H154</f>
        <v/>
      </c>
      <c r="D155" s="9">
        <f>MFD!J154</f>
        <v/>
      </c>
      <c r="E155" s="9">
        <f>E154+D155</f>
        <v/>
      </c>
    </row>
    <row r="156">
      <c r="A156" s="6">
        <f>ROW()-3</f>
        <v/>
      </c>
      <c r="B156" s="16">
        <f>MFD!E155</f>
        <v/>
      </c>
      <c r="C156" s="16">
        <f>MFD!H155</f>
        <v/>
      </c>
      <c r="D156" s="9">
        <f>MFD!J155</f>
        <v/>
      </c>
      <c r="E156" s="9">
        <f>E155+D156</f>
        <v/>
      </c>
    </row>
    <row r="157">
      <c r="A157" s="6">
        <f>ROW()-3</f>
        <v/>
      </c>
      <c r="B157" s="16">
        <f>MFD!E156</f>
        <v/>
      </c>
      <c r="C157" s="16">
        <f>MFD!H156</f>
        <v/>
      </c>
      <c r="D157" s="9">
        <f>MFD!J156</f>
        <v/>
      </c>
      <c r="E157" s="9">
        <f>E156+D157</f>
        <v/>
      </c>
    </row>
    <row r="158">
      <c r="A158" s="6">
        <f>ROW()-3</f>
        <v/>
      </c>
      <c r="B158" s="16">
        <f>MFD!E157</f>
        <v/>
      </c>
      <c r="C158" s="16">
        <f>MFD!H157</f>
        <v/>
      </c>
      <c r="D158" s="9">
        <f>MFD!J157</f>
        <v/>
      </c>
      <c r="E158" s="9">
        <f>E157+D158</f>
        <v/>
      </c>
    </row>
    <row r="159">
      <c r="A159" s="6">
        <f>ROW()-3</f>
        <v/>
      </c>
      <c r="B159" s="16">
        <f>MFD!E158</f>
        <v/>
      </c>
      <c r="C159" s="16">
        <f>MFD!H158</f>
        <v/>
      </c>
      <c r="D159" s="9">
        <f>MFD!J158</f>
        <v/>
      </c>
      <c r="E159" s="9">
        <f>E158+D159</f>
        <v/>
      </c>
    </row>
    <row r="160">
      <c r="A160" s="6">
        <f>ROW()-3</f>
        <v/>
      </c>
      <c r="B160" s="16">
        <f>MFD!E159</f>
        <v/>
      </c>
      <c r="C160" s="16">
        <f>MFD!H159</f>
        <v/>
      </c>
      <c r="D160" s="9">
        <f>MFD!J159</f>
        <v/>
      </c>
      <c r="E160" s="9">
        <f>E159+D160</f>
        <v/>
      </c>
    </row>
    <row r="161">
      <c r="A161" s="6">
        <f>ROW()-3</f>
        <v/>
      </c>
      <c r="B161" s="16">
        <f>MFD!E160</f>
        <v/>
      </c>
      <c r="C161" s="16">
        <f>MFD!H160</f>
        <v/>
      </c>
      <c r="D161" s="9">
        <f>MFD!J160</f>
        <v/>
      </c>
      <c r="E161" s="9">
        <f>E160+D161</f>
        <v/>
      </c>
    </row>
    <row r="162">
      <c r="A162" s="6">
        <f>ROW()-3</f>
        <v/>
      </c>
      <c r="B162" s="16">
        <f>MFD!E161</f>
        <v/>
      </c>
      <c r="C162" s="16">
        <f>MFD!H161</f>
        <v/>
      </c>
      <c r="D162" s="9">
        <f>MFD!J161</f>
        <v/>
      </c>
      <c r="E162" s="9">
        <f>E161+D162</f>
        <v/>
      </c>
    </row>
    <row r="163">
      <c r="A163" s="6">
        <f>ROW()-3</f>
        <v/>
      </c>
      <c r="B163" s="16">
        <f>MFD!E162</f>
        <v/>
      </c>
      <c r="C163" s="16">
        <f>MFD!H162</f>
        <v/>
      </c>
      <c r="D163" s="9">
        <f>MFD!J162</f>
        <v/>
      </c>
      <c r="E163" s="9">
        <f>E162+D163</f>
        <v/>
      </c>
    </row>
    <row r="164">
      <c r="A164" s="6">
        <f>ROW()-3</f>
        <v/>
      </c>
      <c r="B164" s="16">
        <f>MFD!E163</f>
        <v/>
      </c>
      <c r="C164" s="16">
        <f>MFD!H163</f>
        <v/>
      </c>
      <c r="D164" s="9">
        <f>MFD!J163</f>
        <v/>
      </c>
      <c r="E164" s="9">
        <f>E163+D164</f>
        <v/>
      </c>
    </row>
    <row r="165">
      <c r="A165" s="6">
        <f>ROW()-3</f>
        <v/>
      </c>
      <c r="B165" s="16">
        <f>MFD!E164</f>
        <v/>
      </c>
      <c r="C165" s="16">
        <f>MFD!H164</f>
        <v/>
      </c>
      <c r="D165" s="9">
        <f>MFD!J164</f>
        <v/>
      </c>
      <c r="E165" s="9">
        <f>E164+D165</f>
        <v/>
      </c>
    </row>
    <row r="166">
      <c r="A166" s="6">
        <f>ROW()-3</f>
        <v/>
      </c>
      <c r="B166" s="16">
        <f>MFD!E165</f>
        <v/>
      </c>
      <c r="C166" s="16">
        <f>MFD!H165</f>
        <v/>
      </c>
      <c r="D166" s="9">
        <f>MFD!J165</f>
        <v/>
      </c>
      <c r="E166" s="9">
        <f>E165+D166</f>
        <v/>
      </c>
    </row>
    <row r="167">
      <c r="A167" s="6">
        <f>ROW()-3</f>
        <v/>
      </c>
      <c r="B167" s="16">
        <f>MFD!E166</f>
        <v/>
      </c>
      <c r="C167" s="16">
        <f>MFD!H166</f>
        <v/>
      </c>
      <c r="D167" s="9">
        <f>MFD!J166</f>
        <v/>
      </c>
      <c r="E167" s="9">
        <f>E166+D167</f>
        <v/>
      </c>
    </row>
    <row r="168">
      <c r="A168" s="6">
        <f>ROW()-3</f>
        <v/>
      </c>
      <c r="B168" s="16">
        <f>MFD!E167</f>
        <v/>
      </c>
      <c r="C168" s="16">
        <f>MFD!H167</f>
        <v/>
      </c>
      <c r="D168" s="9">
        <f>MFD!J167</f>
        <v/>
      </c>
      <c r="E168" s="9">
        <f>E167+D168</f>
        <v/>
      </c>
    </row>
    <row r="169">
      <c r="A169" s="6">
        <f>ROW()-3</f>
        <v/>
      </c>
      <c r="B169" s="16">
        <f>MFD!E168</f>
        <v/>
      </c>
      <c r="C169" s="16">
        <f>MFD!H168</f>
        <v/>
      </c>
      <c r="D169" s="9">
        <f>MFD!J168</f>
        <v/>
      </c>
      <c r="E169" s="9">
        <f>E168+D169</f>
        <v/>
      </c>
    </row>
    <row r="170">
      <c r="A170" s="6">
        <f>ROW()-3</f>
        <v/>
      </c>
      <c r="B170" s="16">
        <f>MFD!E169</f>
        <v/>
      </c>
      <c r="C170" s="16">
        <f>MFD!H169</f>
        <v/>
      </c>
      <c r="D170" s="9">
        <f>MFD!J169</f>
        <v/>
      </c>
      <c r="E170" s="9">
        <f>E169+D170</f>
        <v/>
      </c>
    </row>
    <row r="171">
      <c r="A171" s="6">
        <f>ROW()-3</f>
        <v/>
      </c>
      <c r="B171" s="16">
        <f>MFD!E170</f>
        <v/>
      </c>
      <c r="C171" s="16">
        <f>MFD!H170</f>
        <v/>
      </c>
      <c r="D171" s="9">
        <f>MFD!J170</f>
        <v/>
      </c>
      <c r="E171" s="9">
        <f>E170+D171</f>
        <v/>
      </c>
    </row>
    <row r="172">
      <c r="A172" s="6">
        <f>ROW()-3</f>
        <v/>
      </c>
      <c r="B172" s="16">
        <f>MFD!E171</f>
        <v/>
      </c>
      <c r="C172" s="16">
        <f>MFD!H171</f>
        <v/>
      </c>
      <c r="D172" s="9">
        <f>MFD!J171</f>
        <v/>
      </c>
      <c r="E172" s="9">
        <f>E171+D172</f>
        <v/>
      </c>
    </row>
    <row r="173">
      <c r="A173" s="6">
        <f>ROW()-3</f>
        <v/>
      </c>
      <c r="B173" s="16">
        <f>MFD!E172</f>
        <v/>
      </c>
      <c r="C173" s="16">
        <f>MFD!H172</f>
        <v/>
      </c>
      <c r="D173" s="9">
        <f>MFD!J172</f>
        <v/>
      </c>
      <c r="E173" s="9">
        <f>E172+D173</f>
        <v/>
      </c>
    </row>
    <row r="174">
      <c r="A174" s="6">
        <f>ROW()-3</f>
        <v/>
      </c>
      <c r="B174" s="16">
        <f>MFD!E173</f>
        <v/>
      </c>
      <c r="C174" s="16">
        <f>MFD!H173</f>
        <v/>
      </c>
      <c r="D174" s="9">
        <f>MFD!J173</f>
        <v/>
      </c>
      <c r="E174" s="9">
        <f>E173+D174</f>
        <v/>
      </c>
    </row>
    <row r="175">
      <c r="A175" s="6">
        <f>ROW()-3</f>
        <v/>
      </c>
      <c r="B175" s="16">
        <f>MFD!E174</f>
        <v/>
      </c>
      <c r="C175" s="16">
        <f>MFD!H174</f>
        <v/>
      </c>
      <c r="D175" s="9">
        <f>MFD!J174</f>
        <v/>
      </c>
      <c r="E175" s="9">
        <f>E174+D175</f>
        <v/>
      </c>
    </row>
    <row r="176">
      <c r="A176" s="6">
        <f>ROW()-3</f>
        <v/>
      </c>
      <c r="B176" s="16">
        <f>MFD!E175</f>
        <v/>
      </c>
      <c r="C176" s="16">
        <f>MFD!H175</f>
        <v/>
      </c>
      <c r="D176" s="9">
        <f>MFD!J175</f>
        <v/>
      </c>
      <c r="E176" s="9">
        <f>E175+D176</f>
        <v/>
      </c>
    </row>
    <row r="177">
      <c r="A177" s="6">
        <f>ROW()-3</f>
        <v/>
      </c>
      <c r="B177" s="16">
        <f>MFD!E176</f>
        <v/>
      </c>
      <c r="C177" s="16">
        <f>MFD!H176</f>
        <v/>
      </c>
      <c r="D177" s="9">
        <f>MFD!J176</f>
        <v/>
      </c>
      <c r="E177" s="9">
        <f>E176+D177</f>
        <v/>
      </c>
    </row>
    <row r="178">
      <c r="A178" s="6">
        <f>ROW()-3</f>
        <v/>
      </c>
      <c r="B178" s="16">
        <f>MFD!E177</f>
        <v/>
      </c>
      <c r="C178" s="16">
        <f>MFD!H177</f>
        <v/>
      </c>
      <c r="D178" s="9">
        <f>MFD!J177</f>
        <v/>
      </c>
      <c r="E178" s="9">
        <f>E177+D178</f>
        <v/>
      </c>
    </row>
    <row r="179">
      <c r="A179" s="6">
        <f>ROW()-3</f>
        <v/>
      </c>
      <c r="B179" s="16">
        <f>MFD!E178</f>
        <v/>
      </c>
      <c r="C179" s="16">
        <f>MFD!H178</f>
        <v/>
      </c>
      <c r="D179" s="9">
        <f>MFD!J178</f>
        <v/>
      </c>
      <c r="E179" s="9">
        <f>E178+D179</f>
        <v/>
      </c>
    </row>
    <row r="180">
      <c r="A180" s="6">
        <f>ROW()-3</f>
        <v/>
      </c>
      <c r="B180" s="16">
        <f>MFD!E179</f>
        <v/>
      </c>
      <c r="C180" s="16">
        <f>MFD!H179</f>
        <v/>
      </c>
      <c r="D180" s="9">
        <f>MFD!J179</f>
        <v/>
      </c>
      <c r="E180" s="9">
        <f>E179+D180</f>
        <v/>
      </c>
    </row>
    <row r="181">
      <c r="A181" s="6">
        <f>ROW()-3</f>
        <v/>
      </c>
      <c r="B181" s="16">
        <f>MFD!E180</f>
        <v/>
      </c>
      <c r="C181" s="16">
        <f>MFD!H180</f>
        <v/>
      </c>
      <c r="D181" s="9">
        <f>MFD!J180</f>
        <v/>
      </c>
      <c r="E181" s="9">
        <f>E180+D181</f>
        <v/>
      </c>
    </row>
    <row r="182">
      <c r="A182" s="6">
        <f>ROW()-3</f>
        <v/>
      </c>
      <c r="B182" s="16">
        <f>MFD!E181</f>
        <v/>
      </c>
      <c r="C182" s="16">
        <f>MFD!H181</f>
        <v/>
      </c>
      <c r="D182" s="9">
        <f>MFD!J181</f>
        <v/>
      </c>
      <c r="E182" s="9">
        <f>E181+D182</f>
        <v/>
      </c>
    </row>
    <row r="183">
      <c r="A183" s="6">
        <f>ROW()-3</f>
        <v/>
      </c>
      <c r="B183" s="16">
        <f>MFD!E182</f>
        <v/>
      </c>
      <c r="C183" s="16">
        <f>MFD!H182</f>
        <v/>
      </c>
      <c r="D183" s="9">
        <f>MFD!J182</f>
        <v/>
      </c>
      <c r="E183" s="9">
        <f>E182+D183</f>
        <v/>
      </c>
    </row>
    <row r="184">
      <c r="A184" s="6">
        <f>ROW()-3</f>
        <v/>
      </c>
      <c r="B184" s="16">
        <f>MFD!E183</f>
        <v/>
      </c>
      <c r="C184" s="16">
        <f>MFD!H183</f>
        <v/>
      </c>
      <c r="D184" s="9">
        <f>MFD!J183</f>
        <v/>
      </c>
      <c r="E184" s="9">
        <f>E183+D184</f>
        <v/>
      </c>
    </row>
    <row r="185">
      <c r="A185" s="6">
        <f>ROW()-3</f>
        <v/>
      </c>
      <c r="B185" s="16">
        <f>MFD!E184</f>
        <v/>
      </c>
      <c r="C185" s="16">
        <f>MFD!H184</f>
        <v/>
      </c>
      <c r="D185" s="9">
        <f>MFD!J184</f>
        <v/>
      </c>
      <c r="E185" s="9">
        <f>E184+D185</f>
        <v/>
      </c>
    </row>
    <row r="186">
      <c r="A186" s="6">
        <f>ROW()-3</f>
        <v/>
      </c>
      <c r="B186" s="16">
        <f>MFD!E185</f>
        <v/>
      </c>
      <c r="C186" s="16">
        <f>MFD!H185</f>
        <v/>
      </c>
      <c r="D186" s="9">
        <f>MFD!J185</f>
        <v/>
      </c>
      <c r="E186" s="9">
        <f>E185+D186</f>
        <v/>
      </c>
    </row>
    <row r="187">
      <c r="A187" s="6">
        <f>ROW()-3</f>
        <v/>
      </c>
      <c r="B187" s="16">
        <f>MFD!E186</f>
        <v/>
      </c>
      <c r="C187" s="16">
        <f>MFD!H186</f>
        <v/>
      </c>
      <c r="D187" s="9">
        <f>MFD!J186</f>
        <v/>
      </c>
      <c r="E187" s="9">
        <f>E186+D187</f>
        <v/>
      </c>
    </row>
    <row r="188">
      <c r="A188" s="6">
        <f>ROW()-3</f>
        <v/>
      </c>
      <c r="B188" s="16">
        <f>MFD!E187</f>
        <v/>
      </c>
      <c r="C188" s="16">
        <f>MFD!H187</f>
        <v/>
      </c>
      <c r="D188" s="9">
        <f>MFD!J187</f>
        <v/>
      </c>
      <c r="E188" s="9">
        <f>E187+D188</f>
        <v/>
      </c>
    </row>
    <row r="189">
      <c r="A189" s="6">
        <f>ROW()-3</f>
        <v/>
      </c>
      <c r="B189" s="16">
        <f>MFD!E188</f>
        <v/>
      </c>
      <c r="C189" s="16">
        <f>MFD!H188</f>
        <v/>
      </c>
      <c r="D189" s="9">
        <f>MFD!J188</f>
        <v/>
      </c>
      <c r="E189" s="9">
        <f>E188+D189</f>
        <v/>
      </c>
    </row>
    <row r="190">
      <c r="A190" s="6">
        <f>ROW()-3</f>
        <v/>
      </c>
      <c r="B190" s="16">
        <f>MFD!E189</f>
        <v/>
      </c>
      <c r="C190" s="16">
        <f>MFD!H189</f>
        <v/>
      </c>
      <c r="D190" s="9">
        <f>MFD!J189</f>
        <v/>
      </c>
      <c r="E190" s="9">
        <f>E189+D190</f>
        <v/>
      </c>
    </row>
    <row r="191">
      <c r="A191" s="6">
        <f>ROW()-3</f>
        <v/>
      </c>
      <c r="B191" s="16">
        <f>MFD!E190</f>
        <v/>
      </c>
      <c r="C191" s="16">
        <f>MFD!H190</f>
        <v/>
      </c>
      <c r="D191" s="9">
        <f>MFD!J190</f>
        <v/>
      </c>
      <c r="E191" s="9">
        <f>E190+D191</f>
        <v/>
      </c>
    </row>
    <row r="192">
      <c r="A192" s="6">
        <f>ROW()-3</f>
        <v/>
      </c>
      <c r="B192" s="16">
        <f>MFD!E191</f>
        <v/>
      </c>
      <c r="C192" s="16">
        <f>MFD!H191</f>
        <v/>
      </c>
      <c r="D192" s="9">
        <f>MFD!J191</f>
        <v/>
      </c>
      <c r="E192" s="9">
        <f>E191+D192</f>
        <v/>
      </c>
    </row>
    <row r="193">
      <c r="A193" s="6">
        <f>ROW()-3</f>
        <v/>
      </c>
      <c r="B193" s="16">
        <f>MFD!E192</f>
        <v/>
      </c>
      <c r="C193" s="16">
        <f>MFD!H192</f>
        <v/>
      </c>
      <c r="D193" s="9">
        <f>MFD!J192</f>
        <v/>
      </c>
      <c r="E193" s="9">
        <f>E192+D193</f>
        <v/>
      </c>
    </row>
    <row r="194">
      <c r="A194" s="6">
        <f>ROW()-3</f>
        <v/>
      </c>
      <c r="B194" s="16">
        <f>MFD!E193</f>
        <v/>
      </c>
      <c r="C194" s="16">
        <f>MFD!H193</f>
        <v/>
      </c>
      <c r="D194" s="9">
        <f>MFD!J193</f>
        <v/>
      </c>
      <c r="E194" s="9">
        <f>E193+D194</f>
        <v/>
      </c>
    </row>
    <row r="195">
      <c r="A195" s="6">
        <f>ROW()-3</f>
        <v/>
      </c>
      <c r="B195" s="16">
        <f>MFD!E194</f>
        <v/>
      </c>
      <c r="C195" s="16">
        <f>MFD!H194</f>
        <v/>
      </c>
      <c r="D195" s="9">
        <f>MFD!J194</f>
        <v/>
      </c>
      <c r="E195" s="9">
        <f>E194+D195</f>
        <v/>
      </c>
    </row>
    <row r="196">
      <c r="A196" s="6">
        <f>ROW()-3</f>
        <v/>
      </c>
      <c r="B196" s="16">
        <f>MFD!E195</f>
        <v/>
      </c>
      <c r="C196" s="16">
        <f>MFD!H195</f>
        <v/>
      </c>
      <c r="D196" s="9">
        <f>MFD!J195</f>
        <v/>
      </c>
      <c r="E196" s="9">
        <f>E195+D196</f>
        <v/>
      </c>
    </row>
    <row r="197">
      <c r="A197" s="6">
        <f>ROW()-3</f>
        <v/>
      </c>
      <c r="B197" s="16">
        <f>MFD!E196</f>
        <v/>
      </c>
      <c r="C197" s="16">
        <f>MFD!H196</f>
        <v/>
      </c>
      <c r="D197" s="9">
        <f>MFD!J196</f>
        <v/>
      </c>
      <c r="E197" s="9">
        <f>E196+D197</f>
        <v/>
      </c>
    </row>
    <row r="198">
      <c r="A198" s="6">
        <f>ROW()-3</f>
        <v/>
      </c>
      <c r="B198" s="16">
        <f>MFD!E197</f>
        <v/>
      </c>
      <c r="C198" s="16">
        <f>MFD!H197</f>
        <v/>
      </c>
      <c r="D198" s="9">
        <f>MFD!J197</f>
        <v/>
      </c>
      <c r="E198" s="9">
        <f>E197+D198</f>
        <v/>
      </c>
    </row>
    <row r="199">
      <c r="A199" s="6">
        <f>ROW()-3</f>
        <v/>
      </c>
      <c r="B199" s="16">
        <f>MFD!E198</f>
        <v/>
      </c>
      <c r="C199" s="16">
        <f>MFD!H198</f>
        <v/>
      </c>
      <c r="D199" s="9">
        <f>MFD!J198</f>
        <v/>
      </c>
      <c r="E199" s="9">
        <f>E198+D199</f>
        <v/>
      </c>
    </row>
    <row r="200">
      <c r="A200" s="6">
        <f>ROW()-3</f>
        <v/>
      </c>
      <c r="B200" s="16">
        <f>MFD!E199</f>
        <v/>
      </c>
      <c r="C200" s="16">
        <f>MFD!H199</f>
        <v/>
      </c>
      <c r="D200" s="9">
        <f>MFD!J199</f>
        <v/>
      </c>
      <c r="E200" s="9">
        <f>E199+D200</f>
        <v/>
      </c>
    </row>
    <row r="201">
      <c r="A201" s="6">
        <f>ROW()-3</f>
        <v/>
      </c>
      <c r="B201" s="16">
        <f>MFD!E200</f>
        <v/>
      </c>
      <c r="C201" s="16">
        <f>MFD!H200</f>
        <v/>
      </c>
      <c r="D201" s="9">
        <f>MFD!J200</f>
        <v/>
      </c>
      <c r="E201" s="9">
        <f>E200+D201</f>
        <v/>
      </c>
    </row>
    <row r="202">
      <c r="A202" s="6">
        <f>ROW()-3</f>
        <v/>
      </c>
      <c r="B202" s="16">
        <f>MFD!E201</f>
        <v/>
      </c>
      <c r="C202" s="16">
        <f>MFD!H201</f>
        <v/>
      </c>
      <c r="D202" s="9">
        <f>MFD!J201</f>
        <v/>
      </c>
      <c r="E202" s="9">
        <f>E201+D202</f>
        <v/>
      </c>
    </row>
    <row r="203">
      <c r="A203" s="6">
        <f>ROW()-3</f>
        <v/>
      </c>
      <c r="B203" s="16">
        <f>MFD!E202</f>
        <v/>
      </c>
      <c r="C203" s="16">
        <f>MFD!H202</f>
        <v/>
      </c>
      <c r="D203" s="9">
        <f>MFD!J202</f>
        <v/>
      </c>
      <c r="E203" s="9">
        <f>E202+D203</f>
        <v/>
      </c>
    </row>
    <row r="204">
      <c r="A204" s="6">
        <f>ROW()-3</f>
        <v/>
      </c>
      <c r="B204" s="16">
        <f>MFD!E203</f>
        <v/>
      </c>
      <c r="C204" s="16">
        <f>MFD!H203</f>
        <v/>
      </c>
      <c r="D204" s="9">
        <f>MFD!J203</f>
        <v/>
      </c>
      <c r="E204" s="9">
        <f>E203+D204</f>
        <v/>
      </c>
    </row>
    <row r="205">
      <c r="A205" s="6">
        <f>ROW()-3</f>
        <v/>
      </c>
      <c r="B205" s="16">
        <f>MFD!E204</f>
        <v/>
      </c>
      <c r="C205" s="16">
        <f>MFD!H204</f>
        <v/>
      </c>
      <c r="D205" s="9">
        <f>MFD!J204</f>
        <v/>
      </c>
      <c r="E205" s="9">
        <f>E204+D205</f>
        <v/>
      </c>
    </row>
    <row r="206">
      <c r="A206" s="6">
        <f>ROW()-3</f>
        <v/>
      </c>
      <c r="B206" s="16">
        <f>MFD!E205</f>
        <v/>
      </c>
      <c r="C206" s="16">
        <f>MFD!H205</f>
        <v/>
      </c>
      <c r="D206" s="9">
        <f>MFD!J205</f>
        <v/>
      </c>
      <c r="E206" s="9">
        <f>E205+D206</f>
        <v/>
      </c>
    </row>
    <row r="207">
      <c r="A207" s="6">
        <f>ROW()-3</f>
        <v/>
      </c>
      <c r="B207" s="16">
        <f>MFD!E206</f>
        <v/>
      </c>
      <c r="C207" s="16">
        <f>MFD!H206</f>
        <v/>
      </c>
      <c r="D207" s="9">
        <f>MFD!J206</f>
        <v/>
      </c>
      <c r="E207" s="9">
        <f>E206+D207</f>
        <v/>
      </c>
    </row>
    <row r="208">
      <c r="A208" s="6">
        <f>ROW()-3</f>
        <v/>
      </c>
      <c r="B208" s="16">
        <f>MFD!E207</f>
        <v/>
      </c>
      <c r="C208" s="16">
        <f>MFD!H207</f>
        <v/>
      </c>
      <c r="D208" s="9">
        <f>MFD!J207</f>
        <v/>
      </c>
      <c r="E208" s="9">
        <f>E207+D208</f>
        <v/>
      </c>
    </row>
    <row r="209">
      <c r="A209" s="6">
        <f>ROW()-3</f>
        <v/>
      </c>
      <c r="B209" s="16">
        <f>MFD!E208</f>
        <v/>
      </c>
      <c r="C209" s="16">
        <f>MFD!H208</f>
        <v/>
      </c>
      <c r="D209" s="9">
        <f>MFD!J208</f>
        <v/>
      </c>
      <c r="E209" s="9">
        <f>E208+D209</f>
        <v/>
      </c>
    </row>
    <row r="210">
      <c r="A210" s="6">
        <f>ROW()-3</f>
        <v/>
      </c>
      <c r="B210" s="16">
        <f>MFD!E209</f>
        <v/>
      </c>
      <c r="C210" s="16">
        <f>MFD!H209</f>
        <v/>
      </c>
      <c r="D210" s="9">
        <f>MFD!J209</f>
        <v/>
      </c>
      <c r="E210" s="9">
        <f>E209+D210</f>
        <v/>
      </c>
    </row>
    <row r="211">
      <c r="A211" s="6">
        <f>ROW()-3</f>
        <v/>
      </c>
      <c r="B211" s="16">
        <f>MFD!E210</f>
        <v/>
      </c>
      <c r="C211" s="16">
        <f>MFD!H210</f>
        <v/>
      </c>
      <c r="D211" s="9">
        <f>MFD!J210</f>
        <v/>
      </c>
      <c r="E211" s="9">
        <f>E210+D211</f>
        <v/>
      </c>
    </row>
    <row r="212">
      <c r="A212" s="6">
        <f>ROW()-3</f>
        <v/>
      </c>
      <c r="B212" s="16">
        <f>MFD!E211</f>
        <v/>
      </c>
      <c r="C212" s="16">
        <f>MFD!H211</f>
        <v/>
      </c>
      <c r="D212" s="9">
        <f>MFD!J211</f>
        <v/>
      </c>
      <c r="E212" s="9">
        <f>E211+D212</f>
        <v/>
      </c>
    </row>
    <row r="213">
      <c r="A213" s="6">
        <f>ROW()-3</f>
        <v/>
      </c>
      <c r="B213" s="16">
        <f>MFD!E212</f>
        <v/>
      </c>
      <c r="C213" s="16">
        <f>MFD!H212</f>
        <v/>
      </c>
      <c r="D213" s="9">
        <f>MFD!J212</f>
        <v/>
      </c>
      <c r="E213" s="9">
        <f>E212+D213</f>
        <v/>
      </c>
    </row>
    <row r="214">
      <c r="A214" s="6">
        <f>ROW()-3</f>
        <v/>
      </c>
      <c r="B214" s="16">
        <f>MFD!E213</f>
        <v/>
      </c>
      <c r="C214" s="16">
        <f>MFD!H213</f>
        <v/>
      </c>
      <c r="D214" s="9">
        <f>MFD!J213</f>
        <v/>
      </c>
      <c r="E214" s="9">
        <f>E213+D214</f>
        <v/>
      </c>
    </row>
    <row r="215">
      <c r="A215" s="6">
        <f>ROW()-3</f>
        <v/>
      </c>
      <c r="B215" s="16">
        <f>MFD!E214</f>
        <v/>
      </c>
      <c r="C215" s="16">
        <f>MFD!H214</f>
        <v/>
      </c>
      <c r="D215" s="9">
        <f>MFD!J214</f>
        <v/>
      </c>
      <c r="E215" s="9">
        <f>E214+D215</f>
        <v/>
      </c>
    </row>
    <row r="216">
      <c r="A216" s="6">
        <f>ROW()-3</f>
        <v/>
      </c>
      <c r="B216" s="16">
        <f>MFD!E215</f>
        <v/>
      </c>
      <c r="C216" s="16">
        <f>MFD!H215</f>
        <v/>
      </c>
      <c r="D216" s="9">
        <f>MFD!J215</f>
        <v/>
      </c>
      <c r="E216" s="9">
        <f>E215+D216</f>
        <v/>
      </c>
    </row>
    <row r="217">
      <c r="A217" s="6">
        <f>ROW()-3</f>
        <v/>
      </c>
      <c r="B217" s="16">
        <f>MFD!E216</f>
        <v/>
      </c>
      <c r="C217" s="16">
        <f>MFD!H216</f>
        <v/>
      </c>
      <c r="D217" s="9">
        <f>MFD!J216</f>
        <v/>
      </c>
      <c r="E217" s="9">
        <f>E216+D217</f>
        <v/>
      </c>
    </row>
    <row r="218">
      <c r="A218" s="6">
        <f>ROW()-3</f>
        <v/>
      </c>
      <c r="B218" s="16">
        <f>MFD!E217</f>
        <v/>
      </c>
      <c r="C218" s="16">
        <f>MFD!H217</f>
        <v/>
      </c>
      <c r="D218" s="9">
        <f>MFD!J217</f>
        <v/>
      </c>
      <c r="E218" s="9">
        <f>E217+D218</f>
        <v/>
      </c>
    </row>
    <row r="219">
      <c r="A219" s="6">
        <f>ROW()-3</f>
        <v/>
      </c>
      <c r="B219" s="16">
        <f>MFD!E218</f>
        <v/>
      </c>
      <c r="C219" s="16">
        <f>MFD!H218</f>
        <v/>
      </c>
      <c r="D219" s="9">
        <f>MFD!J218</f>
        <v/>
      </c>
      <c r="E219" s="9">
        <f>E218+D219</f>
        <v/>
      </c>
    </row>
    <row r="220">
      <c r="A220" s="6">
        <f>ROW()-3</f>
        <v/>
      </c>
      <c r="B220" s="16">
        <f>MFD!E219</f>
        <v/>
      </c>
      <c r="C220" s="16">
        <f>MFD!H219</f>
        <v/>
      </c>
      <c r="D220" s="9">
        <f>MFD!J219</f>
        <v/>
      </c>
      <c r="E220" s="9">
        <f>E219+D220</f>
        <v/>
      </c>
    </row>
    <row r="221">
      <c r="A221" s="6">
        <f>ROW()-3</f>
        <v/>
      </c>
      <c r="B221" s="16">
        <f>MFD!E220</f>
        <v/>
      </c>
      <c r="C221" s="16">
        <f>MFD!H220</f>
        <v/>
      </c>
      <c r="D221" s="9">
        <f>MFD!J220</f>
        <v/>
      </c>
      <c r="E221" s="9">
        <f>E220+D221</f>
        <v/>
      </c>
    </row>
    <row r="222">
      <c r="A222" s="6">
        <f>ROW()-3</f>
        <v/>
      </c>
      <c r="B222" s="16">
        <f>MFD!E221</f>
        <v/>
      </c>
      <c r="C222" s="16">
        <f>MFD!H221</f>
        <v/>
      </c>
      <c r="D222" s="9">
        <f>MFD!J221</f>
        <v/>
      </c>
      <c r="E222" s="9">
        <f>E221+D222</f>
        <v/>
      </c>
    </row>
    <row r="223">
      <c r="A223" s="6">
        <f>ROW()-3</f>
        <v/>
      </c>
      <c r="B223" s="16">
        <f>MFD!E222</f>
        <v/>
      </c>
      <c r="C223" s="16">
        <f>MFD!H222</f>
        <v/>
      </c>
      <c r="D223" s="9">
        <f>MFD!J222</f>
        <v/>
      </c>
      <c r="E223" s="9">
        <f>E222+D223</f>
        <v/>
      </c>
    </row>
    <row r="224">
      <c r="A224" s="6">
        <f>ROW()-3</f>
        <v/>
      </c>
      <c r="B224" s="16">
        <f>MFD!E223</f>
        <v/>
      </c>
      <c r="C224" s="16">
        <f>MFD!H223</f>
        <v/>
      </c>
      <c r="D224" s="9">
        <f>MFD!J223</f>
        <v/>
      </c>
      <c r="E224" s="9">
        <f>E223+D224</f>
        <v/>
      </c>
    </row>
    <row r="225">
      <c r="A225" s="6">
        <f>ROW()-3</f>
        <v/>
      </c>
      <c r="B225" s="16">
        <f>MFD!E224</f>
        <v/>
      </c>
      <c r="C225" s="16">
        <f>MFD!H224</f>
        <v/>
      </c>
      <c r="D225" s="9">
        <f>MFD!J224</f>
        <v/>
      </c>
      <c r="E225" s="9">
        <f>E224+D225</f>
        <v/>
      </c>
    </row>
    <row r="226">
      <c r="A226" s="6">
        <f>ROW()-3</f>
        <v/>
      </c>
      <c r="B226" s="16">
        <f>MFD!E225</f>
        <v/>
      </c>
      <c r="C226" s="16">
        <f>MFD!H225</f>
        <v/>
      </c>
      <c r="D226" s="9">
        <f>MFD!J225</f>
        <v/>
      </c>
      <c r="E226" s="9">
        <f>E225+D226</f>
        <v/>
      </c>
    </row>
    <row r="227">
      <c r="A227" s="6">
        <f>ROW()-3</f>
        <v/>
      </c>
      <c r="B227" s="16">
        <f>MFD!E226</f>
        <v/>
      </c>
      <c r="C227" s="16">
        <f>MFD!H226</f>
        <v/>
      </c>
      <c r="D227" s="9">
        <f>MFD!J226</f>
        <v/>
      </c>
      <c r="E227" s="9">
        <f>E226+D227</f>
        <v/>
      </c>
    </row>
    <row r="228">
      <c r="A228" s="6">
        <f>ROW()-3</f>
        <v/>
      </c>
      <c r="B228" s="16">
        <f>MFD!E227</f>
        <v/>
      </c>
      <c r="C228" s="16">
        <f>MFD!H227</f>
        <v/>
      </c>
      <c r="D228" s="9">
        <f>MFD!J227</f>
        <v/>
      </c>
      <c r="E228" s="9">
        <f>E227+D228</f>
        <v/>
      </c>
    </row>
    <row r="229">
      <c r="A229" s="6">
        <f>ROW()-3</f>
        <v/>
      </c>
      <c r="B229" s="16">
        <f>MFD!E228</f>
        <v/>
      </c>
      <c r="C229" s="16">
        <f>MFD!H228</f>
        <v/>
      </c>
      <c r="D229" s="9">
        <f>MFD!J228</f>
        <v/>
      </c>
      <c r="E229" s="9">
        <f>E228+D229</f>
        <v/>
      </c>
    </row>
    <row r="230">
      <c r="A230" s="6">
        <f>ROW()-3</f>
        <v/>
      </c>
      <c r="B230" s="16">
        <f>MFD!E229</f>
        <v/>
      </c>
      <c r="C230" s="16">
        <f>MFD!H229</f>
        <v/>
      </c>
      <c r="D230" s="9">
        <f>MFD!J229</f>
        <v/>
      </c>
      <c r="E230" s="9">
        <f>E229+D230</f>
        <v/>
      </c>
    </row>
    <row r="231">
      <c r="A231" s="6">
        <f>ROW()-3</f>
        <v/>
      </c>
      <c r="B231" s="16">
        <f>MFD!E230</f>
        <v/>
      </c>
      <c r="C231" s="16">
        <f>MFD!H230</f>
        <v/>
      </c>
      <c r="D231" s="9">
        <f>MFD!J230</f>
        <v/>
      </c>
      <c r="E231" s="9">
        <f>E230+D231</f>
        <v/>
      </c>
    </row>
    <row r="232">
      <c r="A232" s="6">
        <f>ROW()-3</f>
        <v/>
      </c>
      <c r="B232" s="16">
        <f>MFD!E231</f>
        <v/>
      </c>
      <c r="C232" s="16">
        <f>MFD!H231</f>
        <v/>
      </c>
      <c r="D232" s="9">
        <f>MFD!J231</f>
        <v/>
      </c>
      <c r="E232" s="9">
        <f>E231+D232</f>
        <v/>
      </c>
    </row>
    <row r="233">
      <c r="A233" s="6">
        <f>ROW()-3</f>
        <v/>
      </c>
      <c r="B233" s="16">
        <f>MFD!E232</f>
        <v/>
      </c>
      <c r="C233" s="16">
        <f>MFD!H232</f>
        <v/>
      </c>
      <c r="D233" s="9">
        <f>MFD!J232</f>
        <v/>
      </c>
      <c r="E233" s="9">
        <f>E232+D233</f>
        <v/>
      </c>
    </row>
    <row r="234">
      <c r="A234" s="6">
        <f>ROW()-3</f>
        <v/>
      </c>
      <c r="B234" s="16">
        <f>MFD!E233</f>
        <v/>
      </c>
      <c r="C234" s="16">
        <f>MFD!H233</f>
        <v/>
      </c>
      <c r="D234" s="9">
        <f>MFD!J233</f>
        <v/>
      </c>
      <c r="E234" s="9">
        <f>E233+D234</f>
        <v/>
      </c>
    </row>
    <row r="235">
      <c r="A235" s="6">
        <f>ROW()-3</f>
        <v/>
      </c>
      <c r="B235" s="16">
        <f>MFD!E234</f>
        <v/>
      </c>
      <c r="C235" s="16">
        <f>MFD!H234</f>
        <v/>
      </c>
      <c r="D235" s="9">
        <f>MFD!J234</f>
        <v/>
      </c>
      <c r="E235" s="9">
        <f>E234+D235</f>
        <v/>
      </c>
    </row>
    <row r="236">
      <c r="A236" s="6">
        <f>ROW()-3</f>
        <v/>
      </c>
      <c r="B236" s="16">
        <f>MFD!E235</f>
        <v/>
      </c>
      <c r="C236" s="16">
        <f>MFD!H235</f>
        <v/>
      </c>
      <c r="D236" s="9">
        <f>MFD!J235</f>
        <v/>
      </c>
      <c r="E236" s="9">
        <f>E235+D236</f>
        <v/>
      </c>
    </row>
    <row r="237">
      <c r="A237" s="6">
        <f>ROW()-3</f>
        <v/>
      </c>
      <c r="B237" s="16">
        <f>MFD!E236</f>
        <v/>
      </c>
      <c r="C237" s="16">
        <f>MFD!H236</f>
        <v/>
      </c>
      <c r="D237" s="9">
        <f>MFD!J236</f>
        <v/>
      </c>
      <c r="E237" s="9">
        <f>E236+D237</f>
        <v/>
      </c>
    </row>
    <row r="238">
      <c r="A238" s="6">
        <f>ROW()-3</f>
        <v/>
      </c>
      <c r="B238" s="16">
        <f>MFD!E237</f>
        <v/>
      </c>
      <c r="C238" s="16">
        <f>MFD!H237</f>
        <v/>
      </c>
      <c r="D238" s="9">
        <f>MFD!J237</f>
        <v/>
      </c>
      <c r="E238" s="9">
        <f>E237+D238</f>
        <v/>
      </c>
    </row>
    <row r="239">
      <c r="A239" s="6">
        <f>ROW()-3</f>
        <v/>
      </c>
      <c r="B239" s="16">
        <f>MFD!E238</f>
        <v/>
      </c>
      <c r="C239" s="16">
        <f>MFD!H238</f>
        <v/>
      </c>
      <c r="D239" s="9">
        <f>MFD!J238</f>
        <v/>
      </c>
      <c r="E239" s="9">
        <f>E238+D239</f>
        <v/>
      </c>
    </row>
    <row r="240">
      <c r="A240" s="6">
        <f>ROW()-3</f>
        <v/>
      </c>
      <c r="B240" s="16">
        <f>MFD!E239</f>
        <v/>
      </c>
      <c r="C240" s="16">
        <f>MFD!H239</f>
        <v/>
      </c>
      <c r="D240" s="9">
        <f>MFD!J239</f>
        <v/>
      </c>
      <c r="E240" s="9">
        <f>E239+D240</f>
        <v/>
      </c>
    </row>
    <row r="241">
      <c r="A241" s="6">
        <f>ROW()-3</f>
        <v/>
      </c>
      <c r="B241" s="16">
        <f>MFD!E240</f>
        <v/>
      </c>
      <c r="C241" s="16">
        <f>MFD!H240</f>
        <v/>
      </c>
      <c r="D241" s="9">
        <f>MFD!J240</f>
        <v/>
      </c>
      <c r="E241" s="9">
        <f>E240+D241</f>
        <v/>
      </c>
    </row>
    <row r="242">
      <c r="A242" s="6">
        <f>ROW()-3</f>
        <v/>
      </c>
      <c r="B242" s="16">
        <f>MFD!E241</f>
        <v/>
      </c>
      <c r="C242" s="16">
        <f>MFD!H241</f>
        <v/>
      </c>
      <c r="D242" s="9">
        <f>MFD!J241</f>
        <v/>
      </c>
      <c r="E242" s="9">
        <f>E241+D242</f>
        <v/>
      </c>
    </row>
    <row r="243">
      <c r="A243" s="6">
        <f>ROW()-3</f>
        <v/>
      </c>
      <c r="B243" s="16">
        <f>MFD!E242</f>
        <v/>
      </c>
      <c r="C243" s="16">
        <f>MFD!H242</f>
        <v/>
      </c>
      <c r="D243" s="9">
        <f>MFD!J242</f>
        <v/>
      </c>
      <c r="E243" s="9">
        <f>E242+D243</f>
        <v/>
      </c>
    </row>
    <row r="244">
      <c r="A244" s="6">
        <f>ROW()-3</f>
        <v/>
      </c>
      <c r="B244" s="16">
        <f>MFD!E243</f>
        <v/>
      </c>
      <c r="C244" s="16">
        <f>MFD!H243</f>
        <v/>
      </c>
      <c r="D244" s="9">
        <f>MFD!J243</f>
        <v/>
      </c>
      <c r="E244" s="9">
        <f>E243+D244</f>
        <v/>
      </c>
    </row>
    <row r="245">
      <c r="A245" s="6">
        <f>ROW()-3</f>
        <v/>
      </c>
      <c r="B245" s="16">
        <f>MFD!E244</f>
        <v/>
      </c>
      <c r="C245" s="16">
        <f>MFD!H244</f>
        <v/>
      </c>
      <c r="D245" s="9">
        <f>MFD!J244</f>
        <v/>
      </c>
      <c r="E245" s="9">
        <f>E244+D245</f>
        <v/>
      </c>
    </row>
    <row r="246">
      <c r="A246" s="6">
        <f>ROW()-3</f>
        <v/>
      </c>
      <c r="B246" s="16">
        <f>MFD!E245</f>
        <v/>
      </c>
      <c r="C246" s="16">
        <f>MFD!H245</f>
        <v/>
      </c>
      <c r="D246" s="9">
        <f>MFD!J245</f>
        <v/>
      </c>
      <c r="E246" s="9">
        <f>E245+D246</f>
        <v/>
      </c>
    </row>
    <row r="247">
      <c r="A247" s="6">
        <f>ROW()-3</f>
        <v/>
      </c>
      <c r="B247" s="16">
        <f>MFD!E246</f>
        <v/>
      </c>
      <c r="C247" s="16">
        <f>MFD!H246</f>
        <v/>
      </c>
      <c r="D247" s="9">
        <f>MFD!J246</f>
        <v/>
      </c>
      <c r="E247" s="9">
        <f>E246+D247</f>
        <v/>
      </c>
    </row>
    <row r="248">
      <c r="A248" s="6">
        <f>ROW()-3</f>
        <v/>
      </c>
      <c r="B248" s="16">
        <f>MFD!E247</f>
        <v/>
      </c>
      <c r="C248" s="16">
        <f>MFD!H247</f>
        <v/>
      </c>
      <c r="D248" s="9">
        <f>MFD!J247</f>
        <v/>
      </c>
      <c r="E248" s="9">
        <f>E247+D248</f>
        <v/>
      </c>
    </row>
    <row r="249">
      <c r="A249" s="6">
        <f>ROW()-3</f>
        <v/>
      </c>
      <c r="B249" s="16">
        <f>MFD!E248</f>
        <v/>
      </c>
      <c r="C249" s="16">
        <f>MFD!H248</f>
        <v/>
      </c>
      <c r="D249" s="9">
        <f>MFD!J248</f>
        <v/>
      </c>
      <c r="E249" s="9">
        <f>E248+D249</f>
        <v/>
      </c>
    </row>
    <row r="250">
      <c r="A250" s="6">
        <f>ROW()-3</f>
        <v/>
      </c>
      <c r="B250" s="16">
        <f>MFD!E249</f>
        <v/>
      </c>
      <c r="C250" s="16">
        <f>MFD!H249</f>
        <v/>
      </c>
      <c r="D250" s="9">
        <f>MFD!J249</f>
        <v/>
      </c>
      <c r="E250" s="9">
        <f>E249+D250</f>
        <v/>
      </c>
    </row>
    <row r="251">
      <c r="A251" s="6">
        <f>ROW()-3</f>
        <v/>
      </c>
      <c r="B251" s="16">
        <f>MFD!E250</f>
        <v/>
      </c>
      <c r="C251" s="16">
        <f>MFD!H250</f>
        <v/>
      </c>
      <c r="D251" s="9">
        <f>MFD!J250</f>
        <v/>
      </c>
      <c r="E251" s="9">
        <f>E250+D251</f>
        <v/>
      </c>
    </row>
    <row r="252">
      <c r="A252" s="6">
        <f>ROW()-3</f>
        <v/>
      </c>
      <c r="B252" s="16">
        <f>MFD!E251</f>
        <v/>
      </c>
      <c r="C252" s="16">
        <f>MFD!H251</f>
        <v/>
      </c>
      <c r="D252" s="9">
        <f>MFD!J251</f>
        <v/>
      </c>
      <c r="E252" s="9">
        <f>E251+D252</f>
        <v/>
      </c>
    </row>
    <row r="253">
      <c r="A253" s="6">
        <f>ROW()-3</f>
        <v/>
      </c>
      <c r="B253" s="16">
        <f>MFD!E252</f>
        <v/>
      </c>
      <c r="C253" s="16">
        <f>MFD!H252</f>
        <v/>
      </c>
      <c r="D253" s="9">
        <f>MFD!J252</f>
        <v/>
      </c>
      <c r="E253" s="9">
        <f>E252+D253</f>
        <v/>
      </c>
    </row>
    <row r="254">
      <c r="A254" s="6">
        <f>ROW()-3</f>
        <v/>
      </c>
      <c r="B254" s="16">
        <f>MFD!E253</f>
        <v/>
      </c>
      <c r="C254" s="16">
        <f>MFD!H253</f>
        <v/>
      </c>
      <c r="D254" s="9">
        <f>MFD!J253</f>
        <v/>
      </c>
      <c r="E254" s="9">
        <f>E253+D254</f>
        <v/>
      </c>
    </row>
    <row r="255">
      <c r="A255" s="6">
        <f>ROW()-3</f>
        <v/>
      </c>
      <c r="B255" s="16">
        <f>MFD!E254</f>
        <v/>
      </c>
      <c r="C255" s="16">
        <f>MFD!H254</f>
        <v/>
      </c>
      <c r="D255" s="9">
        <f>MFD!J254</f>
        <v/>
      </c>
      <c r="E255" s="9">
        <f>E254+D255</f>
        <v/>
      </c>
    </row>
    <row r="256">
      <c r="A256" s="6">
        <f>ROW()-3</f>
        <v/>
      </c>
      <c r="B256" s="16">
        <f>MFD!E255</f>
        <v/>
      </c>
      <c r="C256" s="16">
        <f>MFD!H255</f>
        <v/>
      </c>
      <c r="D256" s="9">
        <f>MFD!J255</f>
        <v/>
      </c>
      <c r="E256" s="9">
        <f>E255+D256</f>
        <v/>
      </c>
    </row>
    <row r="257">
      <c r="A257" s="6">
        <f>ROW()-3</f>
        <v/>
      </c>
      <c r="B257" s="16">
        <f>MFD!E256</f>
        <v/>
      </c>
      <c r="C257" s="16">
        <f>MFD!H256</f>
        <v/>
      </c>
      <c r="D257" s="9">
        <f>MFD!J256</f>
        <v/>
      </c>
      <c r="E257" s="9">
        <f>E256+D257</f>
        <v/>
      </c>
    </row>
    <row r="258">
      <c r="A258" s="6">
        <f>ROW()-3</f>
        <v/>
      </c>
      <c r="B258" s="16">
        <f>MFD!E257</f>
        <v/>
      </c>
      <c r="C258" s="16">
        <f>MFD!H257</f>
        <v/>
      </c>
      <c r="D258" s="9">
        <f>MFD!J257</f>
        <v/>
      </c>
      <c r="E258" s="9">
        <f>E257+D258</f>
        <v/>
      </c>
    </row>
    <row r="259">
      <c r="A259" s="6">
        <f>ROW()-3</f>
        <v/>
      </c>
      <c r="B259" s="16">
        <f>MFD!E258</f>
        <v/>
      </c>
      <c r="C259" s="16">
        <f>MFD!H258</f>
        <v/>
      </c>
      <c r="D259" s="9">
        <f>MFD!J258</f>
        <v/>
      </c>
      <c r="E259" s="9">
        <f>E258+D259</f>
        <v/>
      </c>
    </row>
    <row r="260">
      <c r="A260" s="6">
        <f>ROW()-3</f>
        <v/>
      </c>
      <c r="B260" s="16">
        <f>MFD!E259</f>
        <v/>
      </c>
      <c r="C260" s="16">
        <f>MFD!H259</f>
        <v/>
      </c>
      <c r="D260" s="9">
        <f>MFD!J259</f>
        <v/>
      </c>
      <c r="E260" s="9">
        <f>E259+D260</f>
        <v/>
      </c>
    </row>
    <row r="261">
      <c r="A261" s="6">
        <f>ROW()-3</f>
        <v/>
      </c>
      <c r="B261" s="16">
        <f>MFD!E260</f>
        <v/>
      </c>
      <c r="C261" s="16">
        <f>MFD!H260</f>
        <v/>
      </c>
      <c r="D261" s="9">
        <f>MFD!J260</f>
        <v/>
      </c>
      <c r="E261" s="9">
        <f>E260+D261</f>
        <v/>
      </c>
    </row>
    <row r="262">
      <c r="A262" s="6">
        <f>ROW()-3</f>
        <v/>
      </c>
      <c r="B262" s="16">
        <f>MFD!E261</f>
        <v/>
      </c>
      <c r="C262" s="16">
        <f>MFD!H261</f>
        <v/>
      </c>
      <c r="D262" s="9">
        <f>MFD!J261</f>
        <v/>
      </c>
      <c r="E262" s="9">
        <f>E261+D262</f>
        <v/>
      </c>
    </row>
    <row r="263">
      <c r="A263" s="6">
        <f>ROW()-3</f>
        <v/>
      </c>
      <c r="B263" s="16">
        <f>MFD!E262</f>
        <v/>
      </c>
      <c r="C263" s="16">
        <f>MFD!H262</f>
        <v/>
      </c>
      <c r="D263" s="9">
        <f>MFD!J262</f>
        <v/>
      </c>
      <c r="E263" s="9">
        <f>E262+D263</f>
        <v/>
      </c>
    </row>
    <row r="264">
      <c r="A264" s="6">
        <f>ROW()-3</f>
        <v/>
      </c>
      <c r="B264" s="16">
        <f>MFD!E263</f>
        <v/>
      </c>
      <c r="C264" s="16">
        <f>MFD!H263</f>
        <v/>
      </c>
      <c r="D264" s="9">
        <f>MFD!J263</f>
        <v/>
      </c>
      <c r="E264" s="9">
        <f>E263+D264</f>
        <v/>
      </c>
    </row>
    <row r="265">
      <c r="A265" s="6">
        <f>ROW()-3</f>
        <v/>
      </c>
      <c r="B265" s="16">
        <f>MFD!E264</f>
        <v/>
      </c>
      <c r="C265" s="16">
        <f>MFD!H264</f>
        <v/>
      </c>
      <c r="D265" s="9">
        <f>MFD!J264</f>
        <v/>
      </c>
      <c r="E265" s="9">
        <f>E264+D265</f>
        <v/>
      </c>
    </row>
    <row r="266">
      <c r="A266" s="6">
        <f>ROW()-3</f>
        <v/>
      </c>
      <c r="B266" s="16">
        <f>MFD!E265</f>
        <v/>
      </c>
      <c r="C266" s="16">
        <f>MFD!H265</f>
        <v/>
      </c>
      <c r="D266" s="9">
        <f>MFD!J265</f>
        <v/>
      </c>
      <c r="E266" s="9">
        <f>E265+D266</f>
        <v/>
      </c>
    </row>
    <row r="267">
      <c r="A267" s="6">
        <f>ROW()-3</f>
        <v/>
      </c>
      <c r="B267" s="16">
        <f>MFD!E266</f>
        <v/>
      </c>
      <c r="C267" s="16">
        <f>MFD!H266</f>
        <v/>
      </c>
      <c r="D267" s="9">
        <f>MFD!J266</f>
        <v/>
      </c>
      <c r="E267" s="9">
        <f>E266+D267</f>
        <v/>
      </c>
    </row>
    <row r="268">
      <c r="A268" s="6">
        <f>ROW()-3</f>
        <v/>
      </c>
      <c r="B268" s="16">
        <f>MFD!E267</f>
        <v/>
      </c>
      <c r="C268" s="16">
        <f>MFD!H267</f>
        <v/>
      </c>
      <c r="D268" s="9">
        <f>MFD!J267</f>
        <v/>
      </c>
      <c r="E268" s="9">
        <f>E267+D268</f>
        <v/>
      </c>
    </row>
    <row r="269">
      <c r="A269" s="6">
        <f>ROW()-3</f>
        <v/>
      </c>
      <c r="B269" s="16">
        <f>MFD!E268</f>
        <v/>
      </c>
      <c r="C269" s="16">
        <f>MFD!H268</f>
        <v/>
      </c>
      <c r="D269" s="9">
        <f>MFD!J268</f>
        <v/>
      </c>
      <c r="E269" s="9">
        <f>E268+D269</f>
        <v/>
      </c>
    </row>
    <row r="270">
      <c r="A270" s="6">
        <f>ROW()-3</f>
        <v/>
      </c>
      <c r="B270" s="16">
        <f>MFD!E269</f>
        <v/>
      </c>
      <c r="C270" s="16">
        <f>MFD!H269</f>
        <v/>
      </c>
      <c r="D270" s="9">
        <f>MFD!J269</f>
        <v/>
      </c>
      <c r="E270" s="9">
        <f>E269+D270</f>
        <v/>
      </c>
    </row>
    <row r="271">
      <c r="A271" s="6">
        <f>ROW()-3</f>
        <v/>
      </c>
      <c r="B271" s="16">
        <f>MFD!E270</f>
        <v/>
      </c>
      <c r="C271" s="16">
        <f>MFD!H270</f>
        <v/>
      </c>
      <c r="D271" s="9">
        <f>MFD!J270</f>
        <v/>
      </c>
      <c r="E271" s="9">
        <f>E270+D271</f>
        <v/>
      </c>
    </row>
    <row r="272">
      <c r="A272" s="6">
        <f>ROW()-3</f>
        <v/>
      </c>
      <c r="B272" s="16">
        <f>MFD!E271</f>
        <v/>
      </c>
      <c r="C272" s="16">
        <f>MFD!H271</f>
        <v/>
      </c>
      <c r="D272" s="9">
        <f>MFD!J271</f>
        <v/>
      </c>
      <c r="E272" s="9">
        <f>E271+D272</f>
        <v/>
      </c>
    </row>
    <row r="273">
      <c r="A273" s="6">
        <f>ROW()-3</f>
        <v/>
      </c>
      <c r="B273" s="16">
        <f>MFD!E272</f>
        <v/>
      </c>
      <c r="C273" s="16">
        <f>MFD!H272</f>
        <v/>
      </c>
      <c r="D273" s="9">
        <f>MFD!J272</f>
        <v/>
      </c>
      <c r="E273" s="9">
        <f>E272+D273</f>
        <v/>
      </c>
    </row>
    <row r="274">
      <c r="A274" s="6">
        <f>ROW()-3</f>
        <v/>
      </c>
      <c r="B274" s="16">
        <f>MFD!E273</f>
        <v/>
      </c>
      <c r="C274" s="16">
        <f>MFD!H273</f>
        <v/>
      </c>
      <c r="D274" s="9">
        <f>MFD!J273</f>
        <v/>
      </c>
      <c r="E274" s="9">
        <f>E273+D274</f>
        <v/>
      </c>
    </row>
    <row r="275">
      <c r="A275" s="6">
        <f>ROW()-3</f>
        <v/>
      </c>
      <c r="B275" s="16">
        <f>MFD!E274</f>
        <v/>
      </c>
      <c r="C275" s="16">
        <f>MFD!H274</f>
        <v/>
      </c>
      <c r="D275" s="9">
        <f>MFD!J274</f>
        <v/>
      </c>
      <c r="E275" s="9">
        <f>E274+D275</f>
        <v/>
      </c>
    </row>
    <row r="276">
      <c r="A276" s="6">
        <f>ROW()-3</f>
        <v/>
      </c>
      <c r="B276" s="16">
        <f>MFD!E275</f>
        <v/>
      </c>
      <c r="C276" s="16">
        <f>MFD!H275</f>
        <v/>
      </c>
      <c r="D276" s="9">
        <f>MFD!J275</f>
        <v/>
      </c>
      <c r="E276" s="9">
        <f>E275+D276</f>
        <v/>
      </c>
    </row>
    <row r="277">
      <c r="A277" s="6">
        <f>ROW()-3</f>
        <v/>
      </c>
      <c r="B277" s="16">
        <f>MFD!E276</f>
        <v/>
      </c>
      <c r="C277" s="16">
        <f>MFD!H276</f>
        <v/>
      </c>
      <c r="D277" s="9">
        <f>MFD!J276</f>
        <v/>
      </c>
      <c r="E277" s="9">
        <f>E276+D277</f>
        <v/>
      </c>
    </row>
    <row r="278">
      <c r="A278" s="6">
        <f>ROW()-3</f>
        <v/>
      </c>
      <c r="B278" s="16">
        <f>MFD!E277</f>
        <v/>
      </c>
      <c r="C278" s="16">
        <f>MFD!H277</f>
        <v/>
      </c>
      <c r="D278" s="9">
        <f>MFD!J277</f>
        <v/>
      </c>
      <c r="E278" s="9">
        <f>E277+D278</f>
        <v/>
      </c>
    </row>
    <row r="279">
      <c r="A279" s="6">
        <f>ROW()-3</f>
        <v/>
      </c>
      <c r="B279" s="16">
        <f>MFD!E278</f>
        <v/>
      </c>
      <c r="C279" s="16">
        <f>MFD!H278</f>
        <v/>
      </c>
      <c r="D279" s="9">
        <f>MFD!J278</f>
        <v/>
      </c>
      <c r="E279" s="9">
        <f>E278+D279</f>
        <v/>
      </c>
    </row>
    <row r="280">
      <c r="A280" s="6">
        <f>ROW()-3</f>
        <v/>
      </c>
      <c r="B280" s="16">
        <f>MFD!E279</f>
        <v/>
      </c>
      <c r="C280" s="16">
        <f>MFD!H279</f>
        <v/>
      </c>
      <c r="D280" s="9">
        <f>MFD!J279</f>
        <v/>
      </c>
      <c r="E280" s="9">
        <f>E279+D280</f>
        <v/>
      </c>
    </row>
    <row r="281">
      <c r="A281" s="6">
        <f>ROW()-3</f>
        <v/>
      </c>
      <c r="B281" s="16">
        <f>MFD!E280</f>
        <v/>
      </c>
      <c r="C281" s="16">
        <f>MFD!H280</f>
        <v/>
      </c>
      <c r="D281" s="9">
        <f>MFD!J280</f>
        <v/>
      </c>
      <c r="E281" s="9">
        <f>E280+D281</f>
        <v/>
      </c>
    </row>
    <row r="282">
      <c r="A282" s="6">
        <f>ROW()-3</f>
        <v/>
      </c>
      <c r="B282" s="16">
        <f>MFD!E281</f>
        <v/>
      </c>
      <c r="C282" s="16">
        <f>MFD!H281</f>
        <v/>
      </c>
      <c r="D282" s="9">
        <f>MFD!J281</f>
        <v/>
      </c>
      <c r="E282" s="9">
        <f>E281+D282</f>
        <v/>
      </c>
    </row>
    <row r="283">
      <c r="A283" s="6">
        <f>ROW()-3</f>
        <v/>
      </c>
      <c r="B283" s="16">
        <f>MFD!E282</f>
        <v/>
      </c>
      <c r="C283" s="16">
        <f>MFD!H282</f>
        <v/>
      </c>
      <c r="D283" s="9">
        <f>MFD!J282</f>
        <v/>
      </c>
      <c r="E283" s="9">
        <f>E282+D283</f>
        <v/>
      </c>
    </row>
    <row r="284">
      <c r="A284" s="6">
        <f>ROW()-3</f>
        <v/>
      </c>
      <c r="B284" s="16">
        <f>MFD!E283</f>
        <v/>
      </c>
      <c r="C284" s="16">
        <f>MFD!H283</f>
        <v/>
      </c>
      <c r="D284" s="9">
        <f>MFD!J283</f>
        <v/>
      </c>
      <c r="E284" s="9">
        <f>E283+D284</f>
        <v/>
      </c>
    </row>
    <row r="285">
      <c r="A285" s="6">
        <f>ROW()-3</f>
        <v/>
      </c>
      <c r="B285" s="16">
        <f>MFD!E284</f>
        <v/>
      </c>
      <c r="C285" s="16">
        <f>MFD!H284</f>
        <v/>
      </c>
      <c r="D285" s="9">
        <f>MFD!J284</f>
        <v/>
      </c>
      <c r="E285" s="9">
        <f>E284+D285</f>
        <v/>
      </c>
    </row>
    <row r="286">
      <c r="A286" s="6">
        <f>ROW()-3</f>
        <v/>
      </c>
      <c r="B286" s="16">
        <f>MFD!E285</f>
        <v/>
      </c>
      <c r="C286" s="16">
        <f>MFD!H285</f>
        <v/>
      </c>
      <c r="D286" s="9">
        <f>MFD!J285</f>
        <v/>
      </c>
      <c r="E286" s="9">
        <f>E285+D286</f>
        <v/>
      </c>
    </row>
    <row r="287">
      <c r="A287" s="6">
        <f>ROW()-3</f>
        <v/>
      </c>
      <c r="B287" s="16">
        <f>MFD!E286</f>
        <v/>
      </c>
      <c r="C287" s="16">
        <f>MFD!H286</f>
        <v/>
      </c>
      <c r="D287" s="9">
        <f>MFD!J286</f>
        <v/>
      </c>
      <c r="E287" s="9">
        <f>E286+D287</f>
        <v/>
      </c>
    </row>
    <row r="288">
      <c r="A288" s="6">
        <f>ROW()-3</f>
        <v/>
      </c>
      <c r="B288" s="16">
        <f>MFD!E287</f>
        <v/>
      </c>
      <c r="C288" s="16">
        <f>MFD!H287</f>
        <v/>
      </c>
      <c r="D288" s="9">
        <f>MFD!J287</f>
        <v/>
      </c>
      <c r="E288" s="9">
        <f>E287+D288</f>
        <v/>
      </c>
    </row>
    <row r="289">
      <c r="A289" s="6">
        <f>ROW()-3</f>
        <v/>
      </c>
      <c r="B289" s="16">
        <f>MFD!E288</f>
        <v/>
      </c>
      <c r="C289" s="16">
        <f>MFD!H288</f>
        <v/>
      </c>
      <c r="D289" s="9">
        <f>MFD!J288</f>
        <v/>
      </c>
      <c r="E289" s="9">
        <f>E288+D289</f>
        <v/>
      </c>
    </row>
    <row r="290">
      <c r="A290" s="6">
        <f>ROW()-3</f>
        <v/>
      </c>
      <c r="B290" s="16">
        <f>MFD!E289</f>
        <v/>
      </c>
      <c r="C290" s="16">
        <f>MFD!H289</f>
        <v/>
      </c>
      <c r="D290" s="9">
        <f>MFD!J289</f>
        <v/>
      </c>
      <c r="E290" s="9">
        <f>E289+D290</f>
        <v/>
      </c>
    </row>
    <row r="291">
      <c r="A291" s="6">
        <f>ROW()-3</f>
        <v/>
      </c>
      <c r="B291" s="16">
        <f>MFD!E290</f>
        <v/>
      </c>
      <c r="C291" s="16">
        <f>MFD!H290</f>
        <v/>
      </c>
      <c r="D291" s="9">
        <f>MFD!J290</f>
        <v/>
      </c>
      <c r="E291" s="9">
        <f>E290+D291</f>
        <v/>
      </c>
    </row>
    <row r="292">
      <c r="A292" s="6">
        <f>ROW()-3</f>
        <v/>
      </c>
      <c r="B292" s="16">
        <f>MFD!E291</f>
        <v/>
      </c>
      <c r="C292" s="16">
        <f>MFD!H291</f>
        <v/>
      </c>
      <c r="D292" s="9">
        <f>MFD!J291</f>
        <v/>
      </c>
      <c r="E292" s="9">
        <f>E291+D292</f>
        <v/>
      </c>
    </row>
    <row r="293">
      <c r="A293" s="6">
        <f>ROW()-3</f>
        <v/>
      </c>
      <c r="B293" s="16">
        <f>MFD!E292</f>
        <v/>
      </c>
      <c r="C293" s="16">
        <f>MFD!H292</f>
        <v/>
      </c>
      <c r="D293" s="9">
        <f>MFD!J292</f>
        <v/>
      </c>
      <c r="E293" s="9">
        <f>E292+D293</f>
        <v/>
      </c>
    </row>
    <row r="294">
      <c r="A294" s="6">
        <f>ROW()-3</f>
        <v/>
      </c>
      <c r="B294" s="16">
        <f>MFD!E293</f>
        <v/>
      </c>
      <c r="C294" s="16">
        <f>MFD!H293</f>
        <v/>
      </c>
      <c r="D294" s="9">
        <f>MFD!J293</f>
        <v/>
      </c>
      <c r="E294" s="9">
        <f>E293+D294</f>
        <v/>
      </c>
    </row>
    <row r="295">
      <c r="A295" s="6">
        <f>ROW()-3</f>
        <v/>
      </c>
      <c r="B295" s="16">
        <f>MFD!E294</f>
        <v/>
      </c>
      <c r="C295" s="16">
        <f>MFD!H294</f>
        <v/>
      </c>
      <c r="D295" s="9">
        <f>MFD!J294</f>
        <v/>
      </c>
      <c r="E295" s="9">
        <f>E294+D295</f>
        <v/>
      </c>
    </row>
    <row r="296">
      <c r="A296" s="6">
        <f>ROW()-3</f>
        <v/>
      </c>
      <c r="B296" s="16">
        <f>MFD!E295</f>
        <v/>
      </c>
      <c r="C296" s="16">
        <f>MFD!H295</f>
        <v/>
      </c>
      <c r="D296" s="9">
        <f>MFD!J295</f>
        <v/>
      </c>
      <c r="E296" s="9">
        <f>E295+D296</f>
        <v/>
      </c>
    </row>
    <row r="297">
      <c r="A297" s="6">
        <f>ROW()-3</f>
        <v/>
      </c>
      <c r="B297" s="16">
        <f>MFD!E296</f>
        <v/>
      </c>
      <c r="C297" s="16">
        <f>MFD!H296</f>
        <v/>
      </c>
      <c r="D297" s="9">
        <f>MFD!J296</f>
        <v/>
      </c>
      <c r="E297" s="9">
        <f>E296+D297</f>
        <v/>
      </c>
    </row>
    <row r="298">
      <c r="A298" s="6">
        <f>ROW()-3</f>
        <v/>
      </c>
      <c r="B298" s="16">
        <f>MFD!E297</f>
        <v/>
      </c>
      <c r="C298" s="16">
        <f>MFD!H297</f>
        <v/>
      </c>
      <c r="D298" s="9">
        <f>MFD!J297</f>
        <v/>
      </c>
      <c r="E298" s="9">
        <f>E297+D298</f>
        <v/>
      </c>
    </row>
    <row r="299">
      <c r="A299" s="6">
        <f>ROW()-3</f>
        <v/>
      </c>
      <c r="B299" s="16">
        <f>MFD!E298</f>
        <v/>
      </c>
      <c r="C299" s="16">
        <f>MFD!H298</f>
        <v/>
      </c>
      <c r="D299" s="9">
        <f>MFD!J298</f>
        <v/>
      </c>
      <c r="E299" s="9">
        <f>E298+D299</f>
        <v/>
      </c>
    </row>
    <row r="300">
      <c r="A300" s="6">
        <f>ROW()-3</f>
        <v/>
      </c>
      <c r="B300" s="16">
        <f>MFD!E299</f>
        <v/>
      </c>
      <c r="C300" s="16">
        <f>MFD!H299</f>
        <v/>
      </c>
      <c r="D300" s="9">
        <f>MFD!J299</f>
        <v/>
      </c>
      <c r="E300" s="9">
        <f>E299+D300</f>
        <v/>
      </c>
    </row>
    <row r="301">
      <c r="A301" s="6">
        <f>ROW()-3</f>
        <v/>
      </c>
      <c r="B301" s="16">
        <f>MFD!E300</f>
        <v/>
      </c>
      <c r="C301" s="16">
        <f>MFD!H300</f>
        <v/>
      </c>
      <c r="D301" s="9">
        <f>MFD!J300</f>
        <v/>
      </c>
      <c r="E301" s="9">
        <f>E300+D301</f>
        <v/>
      </c>
    </row>
    <row r="302">
      <c r="A302" s="6">
        <f>ROW()-3</f>
        <v/>
      </c>
      <c r="B302" s="16">
        <f>MFD!E301</f>
        <v/>
      </c>
      <c r="C302" s="16">
        <f>MFD!H301</f>
        <v/>
      </c>
      <c r="D302" s="9">
        <f>MFD!J301</f>
        <v/>
      </c>
      <c r="E302" s="9">
        <f>E301+D302</f>
        <v/>
      </c>
    </row>
    <row r="303">
      <c r="A303" s="6">
        <f>ROW()-3</f>
        <v/>
      </c>
      <c r="B303" s="16">
        <f>MFD!E302</f>
        <v/>
      </c>
      <c r="C303" s="16">
        <f>MFD!H302</f>
        <v/>
      </c>
      <c r="D303" s="9">
        <f>MFD!J302</f>
        <v/>
      </c>
      <c r="E303" s="9">
        <f>E302+D303</f>
        <v/>
      </c>
    </row>
    <row r="304">
      <c r="A304" s="6">
        <f>ROW()-3</f>
        <v/>
      </c>
      <c r="B304" s="16">
        <f>MFD!E303</f>
        <v/>
      </c>
      <c r="C304" s="16">
        <f>MFD!H303</f>
        <v/>
      </c>
      <c r="D304" s="9">
        <f>MFD!J303</f>
        <v/>
      </c>
      <c r="E304" s="9">
        <f>E303+D304</f>
        <v/>
      </c>
    </row>
    <row r="305">
      <c r="A305" s="6">
        <f>ROW()-3</f>
        <v/>
      </c>
      <c r="B305" s="16">
        <f>MFD!E304</f>
        <v/>
      </c>
      <c r="C305" s="16">
        <f>MFD!H304</f>
        <v/>
      </c>
      <c r="D305" s="9">
        <f>MFD!J304</f>
        <v/>
      </c>
      <c r="E305" s="9">
        <f>E304+D305</f>
        <v/>
      </c>
    </row>
    <row r="306">
      <c r="A306" s="6">
        <f>ROW()-3</f>
        <v/>
      </c>
      <c r="B306" s="16">
        <f>MFD!E305</f>
        <v/>
      </c>
      <c r="C306" s="16">
        <f>MFD!H305</f>
        <v/>
      </c>
      <c r="D306" s="9">
        <f>MFD!J305</f>
        <v/>
      </c>
      <c r="E306" s="9">
        <f>E305+D306</f>
        <v/>
      </c>
    </row>
    <row r="307">
      <c r="A307" s="6">
        <f>ROW()-3</f>
        <v/>
      </c>
      <c r="B307" s="16">
        <f>MFD!E306</f>
        <v/>
      </c>
      <c r="C307" s="16">
        <f>MFD!H306</f>
        <v/>
      </c>
      <c r="D307" s="9">
        <f>MFD!J306</f>
        <v/>
      </c>
      <c r="E307" s="9">
        <f>E306+D307</f>
        <v/>
      </c>
    </row>
    <row r="308">
      <c r="A308" s="6">
        <f>ROW()-3</f>
        <v/>
      </c>
      <c r="B308" s="16">
        <f>MFD!E307</f>
        <v/>
      </c>
      <c r="C308" s="16">
        <f>MFD!H307</f>
        <v/>
      </c>
      <c r="D308" s="9">
        <f>MFD!J307</f>
        <v/>
      </c>
      <c r="E308" s="9">
        <f>E307+D308</f>
        <v/>
      </c>
    </row>
    <row r="309">
      <c r="A309" s="6">
        <f>ROW()-3</f>
        <v/>
      </c>
      <c r="B309" s="16">
        <f>MFD!E308</f>
        <v/>
      </c>
      <c r="C309" s="16">
        <f>MFD!H308</f>
        <v/>
      </c>
      <c r="D309" s="9">
        <f>MFD!J308</f>
        <v/>
      </c>
      <c r="E309" s="9">
        <f>E308+D309</f>
        <v/>
      </c>
    </row>
    <row r="310">
      <c r="A310" s="6">
        <f>ROW()-3</f>
        <v/>
      </c>
      <c r="B310" s="16">
        <f>MFD!E309</f>
        <v/>
      </c>
      <c r="C310" s="16">
        <f>MFD!H309</f>
        <v/>
      </c>
      <c r="D310" s="9">
        <f>MFD!J309</f>
        <v/>
      </c>
      <c r="E310" s="9">
        <f>E309+D310</f>
        <v/>
      </c>
    </row>
    <row r="311">
      <c r="A311" s="6">
        <f>ROW()-3</f>
        <v/>
      </c>
      <c r="B311" s="16">
        <f>MFD!E310</f>
        <v/>
      </c>
      <c r="C311" s="16">
        <f>MFD!H310</f>
        <v/>
      </c>
      <c r="D311" s="9">
        <f>MFD!J310</f>
        <v/>
      </c>
      <c r="E311" s="9">
        <f>E310+D311</f>
        <v/>
      </c>
    </row>
    <row r="312">
      <c r="A312" s="6">
        <f>ROW()-3</f>
        <v/>
      </c>
      <c r="B312" s="16">
        <f>MFD!E311</f>
        <v/>
      </c>
      <c r="C312" s="16">
        <f>MFD!H311</f>
        <v/>
      </c>
      <c r="D312" s="9">
        <f>MFD!J311</f>
        <v/>
      </c>
      <c r="E312" s="9">
        <f>E311+D312</f>
        <v/>
      </c>
    </row>
    <row r="313">
      <c r="A313" s="6">
        <f>ROW()-3</f>
        <v/>
      </c>
      <c r="B313" s="16">
        <f>MFD!E312</f>
        <v/>
      </c>
      <c r="C313" s="16">
        <f>MFD!H312</f>
        <v/>
      </c>
      <c r="D313" s="9">
        <f>MFD!J312</f>
        <v/>
      </c>
      <c r="E313" s="9">
        <f>E312+D313</f>
        <v/>
      </c>
    </row>
    <row r="314">
      <c r="A314" s="6">
        <f>ROW()-3</f>
        <v/>
      </c>
      <c r="B314" s="16">
        <f>MFD!E313</f>
        <v/>
      </c>
      <c r="C314" s="16">
        <f>MFD!H313</f>
        <v/>
      </c>
      <c r="D314" s="9">
        <f>MFD!J313</f>
        <v/>
      </c>
      <c r="E314" s="9">
        <f>E313+D314</f>
        <v/>
      </c>
    </row>
    <row r="315">
      <c r="A315" s="6">
        <f>ROW()-3</f>
        <v/>
      </c>
      <c r="B315" s="16">
        <f>MFD!E314</f>
        <v/>
      </c>
      <c r="C315" s="16">
        <f>MFD!H314</f>
        <v/>
      </c>
      <c r="D315" s="9">
        <f>MFD!J314</f>
        <v/>
      </c>
      <c r="E315" s="9">
        <f>E314+D315</f>
        <v/>
      </c>
    </row>
    <row r="316">
      <c r="A316" s="6">
        <f>ROW()-3</f>
        <v/>
      </c>
      <c r="B316" s="16">
        <f>MFD!E315</f>
        <v/>
      </c>
      <c r="C316" s="16">
        <f>MFD!H315</f>
        <v/>
      </c>
      <c r="D316" s="9">
        <f>MFD!J315</f>
        <v/>
      </c>
      <c r="E316" s="9">
        <f>E315+D316</f>
        <v/>
      </c>
    </row>
    <row r="317">
      <c r="A317" s="6">
        <f>ROW()-3</f>
        <v/>
      </c>
      <c r="B317" s="16">
        <f>MFD!E316</f>
        <v/>
      </c>
      <c r="C317" s="16">
        <f>MFD!H316</f>
        <v/>
      </c>
      <c r="D317" s="9">
        <f>MFD!J316</f>
        <v/>
      </c>
      <c r="E317" s="9">
        <f>E316+D317</f>
        <v/>
      </c>
    </row>
    <row r="318">
      <c r="A318" s="6">
        <f>ROW()-3</f>
        <v/>
      </c>
      <c r="B318" s="16">
        <f>MFD!E317</f>
        <v/>
      </c>
      <c r="C318" s="16">
        <f>MFD!H317</f>
        <v/>
      </c>
      <c r="D318" s="9">
        <f>MFD!J317</f>
        <v/>
      </c>
      <c r="E318" s="9">
        <f>E317+D318</f>
        <v/>
      </c>
    </row>
    <row r="319">
      <c r="A319" s="6">
        <f>ROW()-3</f>
        <v/>
      </c>
      <c r="B319" s="16">
        <f>MFD!E318</f>
        <v/>
      </c>
      <c r="C319" s="16">
        <f>MFD!H318</f>
        <v/>
      </c>
      <c r="D319" s="9">
        <f>MFD!J318</f>
        <v/>
      </c>
      <c r="E319" s="9">
        <f>E318+D319</f>
        <v/>
      </c>
    </row>
    <row r="320">
      <c r="A320" s="6">
        <f>ROW()-3</f>
        <v/>
      </c>
      <c r="B320" s="16">
        <f>MFD!E319</f>
        <v/>
      </c>
      <c r="C320" s="16">
        <f>MFD!H319</f>
        <v/>
      </c>
      <c r="D320" s="9">
        <f>MFD!J319</f>
        <v/>
      </c>
      <c r="E320" s="9">
        <f>E319+D320</f>
        <v/>
      </c>
    </row>
    <row r="321">
      <c r="A321" s="6">
        <f>ROW()-3</f>
        <v/>
      </c>
      <c r="B321" s="16">
        <f>MFD!E320</f>
        <v/>
      </c>
      <c r="C321" s="16">
        <f>MFD!H320</f>
        <v/>
      </c>
      <c r="D321" s="9">
        <f>MFD!J320</f>
        <v/>
      </c>
      <c r="E321" s="9">
        <f>E320+D321</f>
        <v/>
      </c>
    </row>
    <row r="322">
      <c r="A322" s="6">
        <f>ROW()-3</f>
        <v/>
      </c>
      <c r="B322" s="16">
        <f>MFD!E321</f>
        <v/>
      </c>
      <c r="C322" s="16">
        <f>MFD!H321</f>
        <v/>
      </c>
      <c r="D322" s="9">
        <f>MFD!J321</f>
        <v/>
      </c>
      <c r="E322" s="9">
        <f>E321+D322</f>
        <v/>
      </c>
    </row>
    <row r="323">
      <c r="A323" s="6">
        <f>ROW()-3</f>
        <v/>
      </c>
      <c r="B323" s="16">
        <f>MFD!E322</f>
        <v/>
      </c>
      <c r="C323" s="16">
        <f>MFD!H322</f>
        <v/>
      </c>
      <c r="D323" s="9">
        <f>MFD!J322</f>
        <v/>
      </c>
      <c r="E323" s="9">
        <f>E322+D323</f>
        <v/>
      </c>
    </row>
    <row r="324">
      <c r="A324" s="6">
        <f>ROW()-3</f>
        <v/>
      </c>
      <c r="B324" s="16">
        <f>MFD!E323</f>
        <v/>
      </c>
      <c r="C324" s="16">
        <f>MFD!H323</f>
        <v/>
      </c>
      <c r="D324" s="9">
        <f>MFD!J323</f>
        <v/>
      </c>
      <c r="E324" s="9">
        <f>E323+D324</f>
        <v/>
      </c>
    </row>
    <row r="325">
      <c r="A325" s="6">
        <f>ROW()-3</f>
        <v/>
      </c>
      <c r="B325" s="16">
        <f>MFD!E324</f>
        <v/>
      </c>
      <c r="C325" s="16">
        <f>MFD!H324</f>
        <v/>
      </c>
      <c r="D325" s="9">
        <f>MFD!J324</f>
        <v/>
      </c>
      <c r="E325" s="9">
        <f>E324+D325</f>
        <v/>
      </c>
    </row>
    <row r="326">
      <c r="A326" s="6">
        <f>ROW()-3</f>
        <v/>
      </c>
      <c r="B326" s="16">
        <f>MFD!E325</f>
        <v/>
      </c>
      <c r="C326" s="16">
        <f>MFD!H325</f>
        <v/>
      </c>
      <c r="D326" s="9">
        <f>MFD!J325</f>
        <v/>
      </c>
      <c r="E326" s="9">
        <f>E325+D326</f>
        <v/>
      </c>
    </row>
    <row r="327">
      <c r="A327" s="6">
        <f>ROW()-3</f>
        <v/>
      </c>
      <c r="B327" s="16">
        <f>MFD!E326</f>
        <v/>
      </c>
      <c r="C327" s="16">
        <f>MFD!H326</f>
        <v/>
      </c>
      <c r="D327" s="9">
        <f>MFD!J326</f>
        <v/>
      </c>
      <c r="E327" s="9">
        <f>E326+D327</f>
        <v/>
      </c>
    </row>
    <row r="328">
      <c r="A328" s="6">
        <f>ROW()-3</f>
        <v/>
      </c>
      <c r="B328" s="16">
        <f>MFD!E327</f>
        <v/>
      </c>
      <c r="C328" s="16">
        <f>MFD!H327</f>
        <v/>
      </c>
      <c r="D328" s="9">
        <f>MFD!J327</f>
        <v/>
      </c>
      <c r="E328" s="9">
        <f>E327+D328</f>
        <v/>
      </c>
    </row>
    <row r="329">
      <c r="A329" s="6">
        <f>ROW()-3</f>
        <v/>
      </c>
      <c r="B329" s="16">
        <f>MFD!E328</f>
        <v/>
      </c>
      <c r="C329" s="16">
        <f>MFD!H328</f>
        <v/>
      </c>
      <c r="D329" s="9">
        <f>MFD!J328</f>
        <v/>
      </c>
      <c r="E329" s="9">
        <f>E328+D329</f>
        <v/>
      </c>
    </row>
    <row r="330">
      <c r="A330" s="6">
        <f>ROW()-3</f>
        <v/>
      </c>
      <c r="B330" s="16">
        <f>MFD!E329</f>
        <v/>
      </c>
      <c r="C330" s="16">
        <f>MFD!H329</f>
        <v/>
      </c>
      <c r="D330" s="9">
        <f>MFD!J329</f>
        <v/>
      </c>
      <c r="E330" s="9">
        <f>E329+D330</f>
        <v/>
      </c>
    </row>
    <row r="331">
      <c r="A331" s="6">
        <f>ROW()-3</f>
        <v/>
      </c>
      <c r="B331" s="16">
        <f>MFD!E330</f>
        <v/>
      </c>
      <c r="C331" s="16">
        <f>MFD!H330</f>
        <v/>
      </c>
      <c r="D331" s="9">
        <f>MFD!J330</f>
        <v/>
      </c>
      <c r="E331" s="9">
        <f>E330+D331</f>
        <v/>
      </c>
    </row>
    <row r="332">
      <c r="A332" s="6">
        <f>ROW()-3</f>
        <v/>
      </c>
      <c r="B332" s="16">
        <f>MFD!E331</f>
        <v/>
      </c>
      <c r="C332" s="16">
        <f>MFD!H331</f>
        <v/>
      </c>
      <c r="D332" s="9">
        <f>MFD!J331</f>
        <v/>
      </c>
      <c r="E332" s="9">
        <f>E331+D332</f>
        <v/>
      </c>
    </row>
    <row r="333">
      <c r="A333" s="6">
        <f>ROW()-3</f>
        <v/>
      </c>
      <c r="B333" s="16">
        <f>MFD!E332</f>
        <v/>
      </c>
      <c r="C333" s="16">
        <f>MFD!H332</f>
        <v/>
      </c>
      <c r="D333" s="9">
        <f>MFD!J332</f>
        <v/>
      </c>
      <c r="E333" s="9">
        <f>E332+D333</f>
        <v/>
      </c>
    </row>
    <row r="334">
      <c r="A334" s="6">
        <f>ROW()-3</f>
        <v/>
      </c>
      <c r="B334" s="16">
        <f>MFD!E333</f>
        <v/>
      </c>
      <c r="C334" s="16">
        <f>MFD!H333</f>
        <v/>
      </c>
      <c r="D334" s="9">
        <f>MFD!J333</f>
        <v/>
      </c>
      <c r="E334" s="9">
        <f>E333+D334</f>
        <v/>
      </c>
    </row>
    <row r="335">
      <c r="A335" s="6">
        <f>ROW()-3</f>
        <v/>
      </c>
      <c r="B335" s="16">
        <f>MFD!E334</f>
        <v/>
      </c>
      <c r="C335" s="16">
        <f>MFD!H334</f>
        <v/>
      </c>
      <c r="D335" s="9">
        <f>MFD!J334</f>
        <v/>
      </c>
      <c r="E335" s="9">
        <f>E334+D335</f>
        <v/>
      </c>
    </row>
    <row r="336">
      <c r="A336" s="6">
        <f>ROW()-3</f>
        <v/>
      </c>
      <c r="B336" s="16">
        <f>MFD!E335</f>
        <v/>
      </c>
      <c r="C336" s="16">
        <f>MFD!H335</f>
        <v/>
      </c>
      <c r="D336" s="9">
        <f>MFD!J335</f>
        <v/>
      </c>
      <c r="E336" s="9">
        <f>E335+D336</f>
        <v/>
      </c>
    </row>
    <row r="337">
      <c r="A337" s="6">
        <f>ROW()-3</f>
        <v/>
      </c>
      <c r="B337" s="16">
        <f>MFD!E336</f>
        <v/>
      </c>
      <c r="C337" s="16">
        <f>MFD!H336</f>
        <v/>
      </c>
      <c r="D337" s="9">
        <f>MFD!J336</f>
        <v/>
      </c>
      <c r="E337" s="9">
        <f>E336+D337</f>
        <v/>
      </c>
    </row>
    <row r="338">
      <c r="A338" s="6">
        <f>ROW()-3</f>
        <v/>
      </c>
      <c r="B338" s="16">
        <f>MFD!E337</f>
        <v/>
      </c>
      <c r="C338" s="16">
        <f>MFD!H337</f>
        <v/>
      </c>
      <c r="D338" s="9">
        <f>MFD!J337</f>
        <v/>
      </c>
      <c r="E338" s="9">
        <f>E337+D338</f>
        <v/>
      </c>
    </row>
    <row r="339">
      <c r="A339" s="6">
        <f>ROW()-3</f>
        <v/>
      </c>
      <c r="B339" s="16">
        <f>MFD!E338</f>
        <v/>
      </c>
      <c r="C339" s="16">
        <f>MFD!H338</f>
        <v/>
      </c>
      <c r="D339" s="9">
        <f>MFD!J338</f>
        <v/>
      </c>
      <c r="E339" s="9">
        <f>E338+D339</f>
        <v/>
      </c>
    </row>
    <row r="340">
      <c r="A340" s="6">
        <f>ROW()-3</f>
        <v/>
      </c>
      <c r="B340" s="16">
        <f>MFD!E339</f>
        <v/>
      </c>
      <c r="C340" s="16">
        <f>MFD!H339</f>
        <v/>
      </c>
      <c r="D340" s="9">
        <f>MFD!J339</f>
        <v/>
      </c>
      <c r="E340" s="9">
        <f>E339+D340</f>
        <v/>
      </c>
    </row>
    <row r="341">
      <c r="A341" s="6">
        <f>ROW()-3</f>
        <v/>
      </c>
      <c r="B341" s="16">
        <f>MFD!E340</f>
        <v/>
      </c>
      <c r="C341" s="16">
        <f>MFD!H340</f>
        <v/>
      </c>
      <c r="D341" s="9">
        <f>MFD!J340</f>
        <v/>
      </c>
      <c r="E341" s="9">
        <f>E340+D341</f>
        <v/>
      </c>
    </row>
    <row r="342">
      <c r="A342" s="6">
        <f>ROW()-3</f>
        <v/>
      </c>
      <c r="B342" s="16">
        <f>MFD!E341</f>
        <v/>
      </c>
      <c r="C342" s="16">
        <f>MFD!H341</f>
        <v/>
      </c>
      <c r="D342" s="9">
        <f>MFD!J341</f>
        <v/>
      </c>
      <c r="E342" s="9">
        <f>E341+D342</f>
        <v/>
      </c>
    </row>
    <row r="343">
      <c r="A343" s="6">
        <f>ROW()-3</f>
        <v/>
      </c>
      <c r="B343" s="16">
        <f>MFD!E342</f>
        <v/>
      </c>
      <c r="C343" s="16">
        <f>MFD!H342</f>
        <v/>
      </c>
      <c r="D343" s="9">
        <f>MFD!J342</f>
        <v/>
      </c>
      <c r="E343" s="9">
        <f>E342+D343</f>
        <v/>
      </c>
    </row>
    <row r="344">
      <c r="A344" s="6">
        <f>ROW()-3</f>
        <v/>
      </c>
      <c r="B344" s="16">
        <f>MFD!E343</f>
        <v/>
      </c>
      <c r="C344" s="16">
        <f>MFD!H343</f>
        <v/>
      </c>
      <c r="D344" s="9">
        <f>MFD!J343</f>
        <v/>
      </c>
      <c r="E344" s="9">
        <f>E343+D344</f>
        <v/>
      </c>
    </row>
    <row r="345">
      <c r="A345" s="6">
        <f>ROW()-3</f>
        <v/>
      </c>
      <c r="B345" s="16">
        <f>MFD!E344</f>
        <v/>
      </c>
      <c r="C345" s="16">
        <f>MFD!H344</f>
        <v/>
      </c>
      <c r="D345" s="9">
        <f>MFD!J344</f>
        <v/>
      </c>
      <c r="E345" s="9">
        <f>E344+D345</f>
        <v/>
      </c>
    </row>
    <row r="346">
      <c r="A346" s="6">
        <f>ROW()-3</f>
        <v/>
      </c>
      <c r="B346" s="16">
        <f>MFD!E345</f>
        <v/>
      </c>
      <c r="C346" s="16">
        <f>MFD!H345</f>
        <v/>
      </c>
      <c r="D346" s="9">
        <f>MFD!J345</f>
        <v/>
      </c>
      <c r="E346" s="9">
        <f>E345+D346</f>
        <v/>
      </c>
    </row>
    <row r="347">
      <c r="A347" s="6">
        <f>ROW()-3</f>
        <v/>
      </c>
      <c r="B347" s="16">
        <f>MFD!E346</f>
        <v/>
      </c>
      <c r="C347" s="16">
        <f>MFD!H346</f>
        <v/>
      </c>
      <c r="D347" s="9">
        <f>MFD!J346</f>
        <v/>
      </c>
      <c r="E347" s="9">
        <f>E346+D347</f>
        <v/>
      </c>
    </row>
    <row r="348">
      <c r="A348" s="6">
        <f>ROW()-3</f>
        <v/>
      </c>
      <c r="B348" s="16">
        <f>MFD!E347</f>
        <v/>
      </c>
      <c r="C348" s="16">
        <f>MFD!H347</f>
        <v/>
      </c>
      <c r="D348" s="9">
        <f>MFD!J347</f>
        <v/>
      </c>
      <c r="E348" s="9">
        <f>E347+D348</f>
        <v/>
      </c>
    </row>
    <row r="349">
      <c r="A349" s="6">
        <f>ROW()-3</f>
        <v/>
      </c>
      <c r="B349" s="16">
        <f>MFD!E348</f>
        <v/>
      </c>
      <c r="C349" s="16">
        <f>MFD!H348</f>
        <v/>
      </c>
      <c r="D349" s="9">
        <f>MFD!J348</f>
        <v/>
      </c>
      <c r="E349" s="9">
        <f>E348+D349</f>
        <v/>
      </c>
    </row>
    <row r="350">
      <c r="A350" s="6">
        <f>ROW()-3</f>
        <v/>
      </c>
      <c r="B350" s="16">
        <f>MFD!E349</f>
        <v/>
      </c>
      <c r="C350" s="16">
        <f>MFD!H349</f>
        <v/>
      </c>
      <c r="D350" s="9">
        <f>MFD!J349</f>
        <v/>
      </c>
      <c r="E350" s="9">
        <f>E349+D350</f>
        <v/>
      </c>
    </row>
    <row r="351">
      <c r="A351" s="6">
        <f>ROW()-3</f>
        <v/>
      </c>
      <c r="B351" s="16">
        <f>MFD!E350</f>
        <v/>
      </c>
      <c r="C351" s="16">
        <f>MFD!H350</f>
        <v/>
      </c>
      <c r="D351" s="9">
        <f>MFD!J350</f>
        <v/>
      </c>
      <c r="E351" s="9">
        <f>E350+D351</f>
        <v/>
      </c>
    </row>
    <row r="352">
      <c r="A352" s="6">
        <f>ROW()-3</f>
        <v/>
      </c>
      <c r="B352" s="16">
        <f>MFD!E351</f>
        <v/>
      </c>
      <c r="C352" s="16">
        <f>MFD!H351</f>
        <v/>
      </c>
      <c r="D352" s="9">
        <f>MFD!J351</f>
        <v/>
      </c>
      <c r="E352" s="9">
        <f>E351+D352</f>
        <v/>
      </c>
    </row>
    <row r="353">
      <c r="A353" s="6">
        <f>ROW()-3</f>
        <v/>
      </c>
      <c r="B353" s="16">
        <f>MFD!E352</f>
        <v/>
      </c>
      <c r="C353" s="16">
        <f>MFD!H352</f>
        <v/>
      </c>
      <c r="D353" s="9">
        <f>MFD!J352</f>
        <v/>
      </c>
      <c r="E353" s="9">
        <f>E352+D353</f>
        <v/>
      </c>
    </row>
    <row r="354">
      <c r="A354" s="6">
        <f>ROW()-3</f>
        <v/>
      </c>
      <c r="B354" s="16">
        <f>MFD!E353</f>
        <v/>
      </c>
      <c r="C354" s="16">
        <f>MFD!H353</f>
        <v/>
      </c>
      <c r="D354" s="9">
        <f>MFD!J353</f>
        <v/>
      </c>
      <c r="E354" s="9">
        <f>E353+D354</f>
        <v/>
      </c>
    </row>
    <row r="355">
      <c r="A355" s="6">
        <f>ROW()-3</f>
        <v/>
      </c>
      <c r="B355" s="16">
        <f>MFD!E354</f>
        <v/>
      </c>
      <c r="C355" s="16">
        <f>MFD!H354</f>
        <v/>
      </c>
      <c r="D355" s="9">
        <f>MFD!J354</f>
        <v/>
      </c>
      <c r="E355" s="9">
        <f>E354+D355</f>
        <v/>
      </c>
    </row>
    <row r="356">
      <c r="A356" s="6">
        <f>ROW()-3</f>
        <v/>
      </c>
      <c r="B356" s="16">
        <f>MFD!E355</f>
        <v/>
      </c>
      <c r="C356" s="16">
        <f>MFD!H355</f>
        <v/>
      </c>
      <c r="D356" s="9">
        <f>MFD!J355</f>
        <v/>
      </c>
      <c r="E356" s="9">
        <f>E355+D356</f>
        <v/>
      </c>
    </row>
    <row r="357">
      <c r="A357" s="6">
        <f>ROW()-3</f>
        <v/>
      </c>
      <c r="B357" s="16">
        <f>MFD!E356</f>
        <v/>
      </c>
      <c r="C357" s="16">
        <f>MFD!H356</f>
        <v/>
      </c>
      <c r="D357" s="9">
        <f>MFD!J356</f>
        <v/>
      </c>
      <c r="E357" s="9">
        <f>E356+D357</f>
        <v/>
      </c>
    </row>
    <row r="358">
      <c r="A358" s="6">
        <f>ROW()-3</f>
        <v/>
      </c>
      <c r="B358" s="16">
        <f>MFD!E357</f>
        <v/>
      </c>
      <c r="C358" s="16">
        <f>MFD!H357</f>
        <v/>
      </c>
      <c r="D358" s="9">
        <f>MFD!J357</f>
        <v/>
      </c>
      <c r="E358" s="9">
        <f>E357+D358</f>
        <v/>
      </c>
    </row>
    <row r="359">
      <c r="A359" s="6">
        <f>ROW()-3</f>
        <v/>
      </c>
      <c r="B359" s="16">
        <f>MFD!E358</f>
        <v/>
      </c>
      <c r="C359" s="16">
        <f>MFD!H358</f>
        <v/>
      </c>
      <c r="D359" s="9">
        <f>MFD!J358</f>
        <v/>
      </c>
      <c r="E359" s="9">
        <f>E358+D359</f>
        <v/>
      </c>
    </row>
    <row r="360">
      <c r="A360" s="6">
        <f>ROW()-3</f>
        <v/>
      </c>
      <c r="B360" s="16">
        <f>MFD!E359</f>
        <v/>
      </c>
      <c r="C360" s="16">
        <f>MFD!H359</f>
        <v/>
      </c>
      <c r="D360" s="9">
        <f>MFD!J359</f>
        <v/>
      </c>
      <c r="E360" s="9">
        <f>E359+D360</f>
        <v/>
      </c>
    </row>
    <row r="361">
      <c r="A361" s="6">
        <f>ROW()-3</f>
        <v/>
      </c>
      <c r="B361" s="16">
        <f>MFD!E360</f>
        <v/>
      </c>
      <c r="C361" s="16">
        <f>MFD!H360</f>
        <v/>
      </c>
      <c r="D361" s="9">
        <f>MFD!J360</f>
        <v/>
      </c>
      <c r="E361" s="9">
        <f>E360+D361</f>
        <v/>
      </c>
    </row>
    <row r="362">
      <c r="A362" s="6">
        <f>ROW()-3</f>
        <v/>
      </c>
      <c r="B362" s="16">
        <f>MFD!E361</f>
        <v/>
      </c>
      <c r="C362" s="16">
        <f>MFD!H361</f>
        <v/>
      </c>
      <c r="D362" s="9">
        <f>MFD!J361</f>
        <v/>
      </c>
      <c r="E362" s="9">
        <f>E361+D362</f>
        <v/>
      </c>
    </row>
    <row r="363">
      <c r="A363" s="6">
        <f>ROW()-3</f>
        <v/>
      </c>
      <c r="B363" s="16">
        <f>MFD!E362</f>
        <v/>
      </c>
      <c r="C363" s="16">
        <f>MFD!H362</f>
        <v/>
      </c>
      <c r="D363" s="9">
        <f>MFD!J362</f>
        <v/>
      </c>
      <c r="E363" s="9">
        <f>E362+D363</f>
        <v/>
      </c>
    </row>
    <row r="364">
      <c r="A364" s="6">
        <f>ROW()-3</f>
        <v/>
      </c>
      <c r="B364" s="16">
        <f>MFD!E363</f>
        <v/>
      </c>
      <c r="C364" s="16">
        <f>MFD!H363</f>
        <v/>
      </c>
      <c r="D364" s="9">
        <f>MFD!J363</f>
        <v/>
      </c>
      <c r="E364" s="9">
        <f>E363+D364</f>
        <v/>
      </c>
    </row>
    <row r="365">
      <c r="A365" s="6">
        <f>ROW()-3</f>
        <v/>
      </c>
      <c r="B365" s="16">
        <f>MFD!E364</f>
        <v/>
      </c>
      <c r="C365" s="16">
        <f>MFD!H364</f>
        <v/>
      </c>
      <c r="D365" s="9">
        <f>MFD!J364</f>
        <v/>
      </c>
      <c r="E365" s="9">
        <f>E364+D365</f>
        <v/>
      </c>
    </row>
    <row r="366">
      <c r="A366" s="6">
        <f>ROW()-3</f>
        <v/>
      </c>
      <c r="B366" s="16">
        <f>MFD!E365</f>
        <v/>
      </c>
      <c r="C366" s="16">
        <f>MFD!H365</f>
        <v/>
      </c>
      <c r="D366" s="9">
        <f>MFD!J365</f>
        <v/>
      </c>
      <c r="E366" s="9">
        <f>E365+D366</f>
        <v/>
      </c>
    </row>
    <row r="367">
      <c r="A367" s="6">
        <f>ROW()-3</f>
        <v/>
      </c>
      <c r="B367" s="16">
        <f>MFD!E366</f>
        <v/>
      </c>
      <c r="C367" s="16">
        <f>MFD!H366</f>
        <v/>
      </c>
      <c r="D367" s="9">
        <f>MFD!J366</f>
        <v/>
      </c>
      <c r="E367" s="9">
        <f>E366+D367</f>
        <v/>
      </c>
    </row>
    <row r="368">
      <c r="A368" s="6">
        <f>ROW()-3</f>
        <v/>
      </c>
      <c r="B368" s="16">
        <f>MFD!E367</f>
        <v/>
      </c>
      <c r="C368" s="16">
        <f>MFD!H367</f>
        <v/>
      </c>
      <c r="D368" s="9">
        <f>MFD!J367</f>
        <v/>
      </c>
      <c r="E368" s="9">
        <f>E367+D368</f>
        <v/>
      </c>
    </row>
    <row r="369">
      <c r="A369" s="6">
        <f>ROW()-3</f>
        <v/>
      </c>
      <c r="B369" s="16">
        <f>MFD!E368</f>
        <v/>
      </c>
      <c r="C369" s="16">
        <f>MFD!H368</f>
        <v/>
      </c>
      <c r="D369" s="9">
        <f>MFD!J368</f>
        <v/>
      </c>
      <c r="E369" s="9">
        <f>E368+D369</f>
        <v/>
      </c>
    </row>
    <row r="370">
      <c r="A370" s="6">
        <f>ROW()-3</f>
        <v/>
      </c>
      <c r="B370" s="16">
        <f>MFD!E369</f>
        <v/>
      </c>
      <c r="C370" s="16">
        <f>MFD!H369</f>
        <v/>
      </c>
      <c r="D370" s="9">
        <f>MFD!J369</f>
        <v/>
      </c>
      <c r="E370" s="9">
        <f>E369+D370</f>
        <v/>
      </c>
    </row>
    <row r="371">
      <c r="A371" s="6">
        <f>ROW()-3</f>
        <v/>
      </c>
      <c r="B371" s="16">
        <f>MFD!E370</f>
        <v/>
      </c>
      <c r="C371" s="16">
        <f>MFD!H370</f>
        <v/>
      </c>
      <c r="D371" s="9">
        <f>MFD!J370</f>
        <v/>
      </c>
      <c r="E371" s="9">
        <f>E370+D371</f>
        <v/>
      </c>
    </row>
    <row r="372">
      <c r="A372" s="6">
        <f>ROW()-3</f>
        <v/>
      </c>
      <c r="B372" s="16">
        <f>MFD!E371</f>
        <v/>
      </c>
      <c r="C372" s="16">
        <f>MFD!H371</f>
        <v/>
      </c>
      <c r="D372" s="9">
        <f>MFD!J371</f>
        <v/>
      </c>
      <c r="E372" s="9">
        <f>E371+D372</f>
        <v/>
      </c>
    </row>
    <row r="373">
      <c r="A373" s="6">
        <f>ROW()-3</f>
        <v/>
      </c>
      <c r="B373" s="16">
        <f>MFD!E372</f>
        <v/>
      </c>
      <c r="C373" s="16">
        <f>MFD!H372</f>
        <v/>
      </c>
      <c r="D373" s="9">
        <f>MFD!J372</f>
        <v/>
      </c>
      <c r="E373" s="9">
        <f>E372+D373</f>
        <v/>
      </c>
    </row>
    <row r="374">
      <c r="A374" s="6">
        <f>ROW()-3</f>
        <v/>
      </c>
      <c r="B374" s="16">
        <f>MFD!E373</f>
        <v/>
      </c>
      <c r="C374" s="16">
        <f>MFD!H373</f>
        <v/>
      </c>
      <c r="D374" s="9">
        <f>MFD!J373</f>
        <v/>
      </c>
      <c r="E374" s="9">
        <f>E373+D374</f>
        <v/>
      </c>
    </row>
    <row r="375">
      <c r="A375" s="6">
        <f>ROW()-3</f>
        <v/>
      </c>
      <c r="B375" s="16">
        <f>MFD!E374</f>
        <v/>
      </c>
      <c r="C375" s="16">
        <f>MFD!H374</f>
        <v/>
      </c>
      <c r="D375" s="9">
        <f>MFD!J374</f>
        <v/>
      </c>
      <c r="E375" s="9">
        <f>E374+D375</f>
        <v/>
      </c>
    </row>
    <row r="376">
      <c r="A376" s="6">
        <f>ROW()-3</f>
        <v/>
      </c>
      <c r="B376" s="16">
        <f>MFD!E375</f>
        <v/>
      </c>
      <c r="C376" s="16">
        <f>MFD!H375</f>
        <v/>
      </c>
      <c r="D376" s="9">
        <f>MFD!J375</f>
        <v/>
      </c>
      <c r="E376" s="9">
        <f>E375+D376</f>
        <v/>
      </c>
    </row>
    <row r="377">
      <c r="A377" s="6">
        <f>ROW()-3</f>
        <v/>
      </c>
      <c r="B377" s="16">
        <f>MFD!E376</f>
        <v/>
      </c>
      <c r="C377" s="16">
        <f>MFD!H376</f>
        <v/>
      </c>
      <c r="D377" s="9">
        <f>MFD!J376</f>
        <v/>
      </c>
      <c r="E377" s="9">
        <f>E376+D377</f>
        <v/>
      </c>
    </row>
    <row r="378">
      <c r="A378" s="6">
        <f>ROW()-3</f>
        <v/>
      </c>
      <c r="B378" s="16">
        <f>MFD!E377</f>
        <v/>
      </c>
      <c r="C378" s="16">
        <f>MFD!H377</f>
        <v/>
      </c>
      <c r="D378" s="9">
        <f>MFD!J377</f>
        <v/>
      </c>
      <c r="E378" s="9">
        <f>E377+D378</f>
        <v/>
      </c>
    </row>
    <row r="379">
      <c r="A379" s="6">
        <f>ROW()-3</f>
        <v/>
      </c>
      <c r="B379" s="16">
        <f>MFD!E378</f>
        <v/>
      </c>
      <c r="C379" s="16">
        <f>MFD!H378</f>
        <v/>
      </c>
      <c r="D379" s="9">
        <f>MFD!J378</f>
        <v/>
      </c>
      <c r="E379" s="9">
        <f>E378+D379</f>
        <v/>
      </c>
    </row>
    <row r="380">
      <c r="A380" s="6">
        <f>ROW()-3</f>
        <v/>
      </c>
      <c r="B380" s="16">
        <f>MFD!E379</f>
        <v/>
      </c>
      <c r="C380" s="16">
        <f>MFD!H379</f>
        <v/>
      </c>
      <c r="D380" s="9">
        <f>MFD!J379</f>
        <v/>
      </c>
      <c r="E380" s="9">
        <f>E379+D380</f>
        <v/>
      </c>
    </row>
    <row r="381">
      <c r="A381" s="6">
        <f>ROW()-3</f>
        <v/>
      </c>
      <c r="B381" s="16">
        <f>MFD!E380</f>
        <v/>
      </c>
      <c r="C381" s="16">
        <f>MFD!H380</f>
        <v/>
      </c>
      <c r="D381" s="9">
        <f>MFD!J380</f>
        <v/>
      </c>
      <c r="E381" s="9">
        <f>E380+D381</f>
        <v/>
      </c>
    </row>
    <row r="382">
      <c r="A382" s="6">
        <f>ROW()-3</f>
        <v/>
      </c>
      <c r="B382" s="16">
        <f>MFD!E381</f>
        <v/>
      </c>
      <c r="C382" s="16">
        <f>MFD!H381</f>
        <v/>
      </c>
      <c r="D382" s="9">
        <f>MFD!J381</f>
        <v/>
      </c>
      <c r="E382" s="9">
        <f>E381+D382</f>
        <v/>
      </c>
    </row>
    <row r="383">
      <c r="A383" s="6">
        <f>ROW()-3</f>
        <v/>
      </c>
      <c r="B383" s="16">
        <f>MFD!E382</f>
        <v/>
      </c>
      <c r="C383" s="16">
        <f>MFD!H382</f>
        <v/>
      </c>
      <c r="D383" s="9">
        <f>MFD!J382</f>
        <v/>
      </c>
      <c r="E383" s="9">
        <f>E382+D383</f>
        <v/>
      </c>
    </row>
    <row r="384">
      <c r="A384" s="6">
        <f>ROW()-3</f>
        <v/>
      </c>
      <c r="B384" s="16">
        <f>MFD!E383</f>
        <v/>
      </c>
      <c r="C384" s="16">
        <f>MFD!H383</f>
        <v/>
      </c>
      <c r="D384" s="9">
        <f>MFD!J383</f>
        <v/>
      </c>
      <c r="E384" s="9">
        <f>E383+D384</f>
        <v/>
      </c>
    </row>
    <row r="385">
      <c r="A385" s="6">
        <f>ROW()-3</f>
        <v/>
      </c>
      <c r="B385" s="16">
        <f>MFD!E384</f>
        <v/>
      </c>
      <c r="C385" s="16">
        <f>MFD!H384</f>
        <v/>
      </c>
      <c r="D385" s="9">
        <f>MFD!J384</f>
        <v/>
      </c>
      <c r="E385" s="9">
        <f>E384+D385</f>
        <v/>
      </c>
    </row>
    <row r="386">
      <c r="A386" s="6">
        <f>ROW()-3</f>
        <v/>
      </c>
      <c r="B386" s="16">
        <f>MFD!E385</f>
        <v/>
      </c>
      <c r="C386" s="16">
        <f>MFD!H385</f>
        <v/>
      </c>
      <c r="D386" s="9">
        <f>MFD!J385</f>
        <v/>
      </c>
      <c r="E386" s="9">
        <f>E385+D386</f>
        <v/>
      </c>
    </row>
    <row r="387">
      <c r="A387" s="6">
        <f>ROW()-3</f>
        <v/>
      </c>
      <c r="B387" s="16">
        <f>MFD!E386</f>
        <v/>
      </c>
      <c r="C387" s="16">
        <f>MFD!H386</f>
        <v/>
      </c>
      <c r="D387" s="9">
        <f>MFD!J386</f>
        <v/>
      </c>
      <c r="E387" s="9">
        <f>E386+D387</f>
        <v/>
      </c>
    </row>
    <row r="388">
      <c r="A388" s="6">
        <f>ROW()-3</f>
        <v/>
      </c>
      <c r="B388" s="16">
        <f>MFD!E387</f>
        <v/>
      </c>
      <c r="C388" s="16">
        <f>MFD!H387</f>
        <v/>
      </c>
      <c r="D388" s="9">
        <f>MFD!J387</f>
        <v/>
      </c>
      <c r="E388" s="9">
        <f>E387+D388</f>
        <v/>
      </c>
    </row>
    <row r="389">
      <c r="A389" s="6">
        <f>ROW()-3</f>
        <v/>
      </c>
      <c r="B389" s="16">
        <f>MFD!E388</f>
        <v/>
      </c>
      <c r="C389" s="16">
        <f>MFD!H388</f>
        <v/>
      </c>
      <c r="D389" s="9">
        <f>MFD!J388</f>
        <v/>
      </c>
      <c r="E389" s="9">
        <f>E388+D389</f>
        <v/>
      </c>
    </row>
    <row r="390">
      <c r="A390" s="6">
        <f>ROW()-3</f>
        <v/>
      </c>
      <c r="B390" s="16">
        <f>MFD!E389</f>
        <v/>
      </c>
      <c r="C390" s="16">
        <f>MFD!H389</f>
        <v/>
      </c>
      <c r="D390" s="9">
        <f>MFD!J389</f>
        <v/>
      </c>
      <c r="E390" s="9">
        <f>E389+D390</f>
        <v/>
      </c>
    </row>
    <row r="391">
      <c r="A391" s="6">
        <f>ROW()-3</f>
        <v/>
      </c>
      <c r="B391" s="16">
        <f>MFD!E390</f>
        <v/>
      </c>
      <c r="C391" s="16">
        <f>MFD!H390</f>
        <v/>
      </c>
      <c r="D391" s="9">
        <f>MFD!J390</f>
        <v/>
      </c>
      <c r="E391" s="9">
        <f>E390+D391</f>
        <v/>
      </c>
    </row>
    <row r="392">
      <c r="A392" s="6">
        <f>ROW()-3</f>
        <v/>
      </c>
      <c r="B392" s="16">
        <f>MFD!E391</f>
        <v/>
      </c>
      <c r="C392" s="16">
        <f>MFD!H391</f>
        <v/>
      </c>
      <c r="D392" s="9">
        <f>MFD!J391</f>
        <v/>
      </c>
      <c r="E392" s="9">
        <f>E391+D392</f>
        <v/>
      </c>
    </row>
    <row r="393">
      <c r="A393" s="6">
        <f>ROW()-3</f>
        <v/>
      </c>
      <c r="B393" s="16">
        <f>MFD!E392</f>
        <v/>
      </c>
      <c r="C393" s="16">
        <f>MFD!H392</f>
        <v/>
      </c>
      <c r="D393" s="9">
        <f>MFD!J392</f>
        <v/>
      </c>
      <c r="E393" s="9">
        <f>E392+D393</f>
        <v/>
      </c>
    </row>
    <row r="394">
      <c r="A394" s="6">
        <f>ROW()-3</f>
        <v/>
      </c>
      <c r="B394" s="16">
        <f>MFD!E393</f>
        <v/>
      </c>
      <c r="C394" s="16">
        <f>MFD!H393</f>
        <v/>
      </c>
      <c r="D394" s="9">
        <f>MFD!J393</f>
        <v/>
      </c>
      <c r="E394" s="9">
        <f>E393+D394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2026-08-10T23:21:30Z</dcterms:created>
  <dcterms:modified xsi:type="dcterms:W3CDTF">2026-08-10T23:21:30Z</dcterms:modified>
</cp:coreProperties>
</file>